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S:\SURVI\14. Marta\DATA SURVI\DonneesCliniques\"/>
    </mc:Choice>
  </mc:AlternateContent>
  <bookViews>
    <workbookView xWindow="0" yWindow="0" windowWidth="28800" windowHeight="13980"/>
  </bookViews>
  <sheets>
    <sheet name="Sheet1" sheetId="1" r:id="rId1"/>
    <sheet name="Exclus" sheetId="2" r:id="rId2"/>
  </sheets>
  <definedNames>
    <definedName name="_xlnm._FilterDatabase" localSheetId="0" hidden="1">Sheet1!$FW$1:$FX$97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E97" i="1" l="1"/>
  <c r="CF97" i="1"/>
  <c r="CG97" i="1"/>
  <c r="CI97" i="1"/>
  <c r="CJ97" i="1"/>
  <c r="CK97" i="1"/>
  <c r="CL97" i="1"/>
  <c r="CM97" i="1"/>
  <c r="CN97" i="1"/>
  <c r="CH97" i="1"/>
  <c r="CO90" i="1"/>
  <c r="CO64" i="1"/>
  <c r="CO55" i="1"/>
  <c r="CO30" i="1"/>
  <c r="CO6" i="1"/>
  <c r="CO7" i="1"/>
  <c r="CO9" i="1"/>
  <c r="CO11" i="1"/>
  <c r="CO13" i="1"/>
  <c r="CO15" i="1"/>
  <c r="CO16" i="1"/>
  <c r="CO17" i="1"/>
  <c r="CO18" i="1"/>
  <c r="CO24" i="1"/>
  <c r="CO25" i="1"/>
  <c r="CO26" i="1"/>
  <c r="CO27" i="1"/>
  <c r="CO28" i="1"/>
  <c r="CO32" i="1"/>
  <c r="CO33" i="1"/>
  <c r="CO36" i="1"/>
  <c r="CO38" i="1"/>
  <c r="CO39" i="1"/>
  <c r="CO42" i="1"/>
  <c r="CO43" i="1"/>
  <c r="CO46" i="1"/>
  <c r="CO48" i="1"/>
  <c r="CO52" i="1"/>
  <c r="CO53" i="1"/>
  <c r="CO54" i="1"/>
  <c r="CO59" i="1"/>
  <c r="CO60" i="1"/>
  <c r="CO62" i="1"/>
  <c r="CO63" i="1"/>
  <c r="CO65" i="1"/>
  <c r="CO68" i="1"/>
  <c r="CO69" i="1"/>
  <c r="CO73" i="1"/>
  <c r="CO74" i="1"/>
  <c r="CO75" i="1"/>
  <c r="CO76" i="1"/>
  <c r="CO77" i="1"/>
  <c r="CO78" i="1"/>
  <c r="CO80" i="1"/>
  <c r="CO82" i="1"/>
  <c r="CO84" i="1"/>
  <c r="CO85" i="1"/>
  <c r="CO86" i="1"/>
  <c r="CO87" i="1"/>
  <c r="CO88" i="1"/>
  <c r="CO89" i="1"/>
  <c r="CO91" i="1"/>
  <c r="CO94" i="1"/>
  <c r="CO96" i="1"/>
  <c r="CO2" i="1"/>
  <c r="EJ3" i="2"/>
  <c r="ED3" i="2"/>
  <c r="DZ3" i="2"/>
  <c r="DC3" i="2"/>
  <c r="BZ3" i="2"/>
  <c r="BW3" i="2"/>
  <c r="BR3" i="2"/>
  <c r="R3" i="2"/>
  <c r="MQ11" i="1"/>
  <c r="MR11" i="1"/>
  <c r="MQ16" i="1"/>
  <c r="MR16" i="1"/>
  <c r="MQ20" i="1"/>
  <c r="MR20" i="1"/>
  <c r="MQ25" i="1"/>
  <c r="MR25" i="1"/>
  <c r="MQ26" i="1"/>
  <c r="MR26" i="1"/>
  <c r="MQ27" i="1"/>
  <c r="MR27" i="1"/>
  <c r="MQ29" i="1"/>
  <c r="MR29" i="1"/>
  <c r="MQ30" i="1"/>
  <c r="MR30" i="1"/>
  <c r="MQ38" i="1"/>
  <c r="MR38" i="1"/>
  <c r="MQ42" i="1"/>
  <c r="MR42" i="1"/>
  <c r="MQ46" i="1"/>
  <c r="MR46" i="1"/>
  <c r="MQ47" i="1"/>
  <c r="MR47" i="1"/>
  <c r="MQ51" i="1"/>
  <c r="MR51" i="1"/>
  <c r="MQ53" i="1"/>
  <c r="MR53" i="1"/>
  <c r="MQ56" i="1"/>
  <c r="MR56" i="1"/>
  <c r="MQ57" i="1"/>
  <c r="MR57" i="1"/>
  <c r="MQ58" i="1"/>
  <c r="MR58" i="1"/>
  <c r="MQ59" i="1"/>
  <c r="MR59" i="1"/>
  <c r="MQ61" i="1"/>
  <c r="MR61" i="1"/>
  <c r="MQ64" i="1"/>
  <c r="MR64" i="1"/>
  <c r="MQ67" i="1"/>
  <c r="MR67" i="1"/>
  <c r="MQ70" i="1"/>
  <c r="MR70" i="1"/>
  <c r="MQ71" i="1"/>
  <c r="MR71" i="1"/>
  <c r="MQ73" i="1"/>
  <c r="MR73" i="1"/>
  <c r="MQ74" i="1"/>
  <c r="MR74" i="1"/>
  <c r="MQ77" i="1"/>
  <c r="MR77" i="1"/>
  <c r="MQ80" i="1"/>
  <c r="MR80" i="1"/>
  <c r="MQ81" i="1"/>
  <c r="MR81" i="1"/>
  <c r="MQ94" i="1"/>
  <c r="MR94" i="1"/>
  <c r="MR2" i="1"/>
  <c r="MQ2" i="1"/>
  <c r="BZ3" i="1"/>
  <c r="BZ5" i="1"/>
  <c r="BZ8" i="1"/>
  <c r="BZ9" i="1"/>
  <c r="BZ11" i="1"/>
  <c r="BZ12" i="1"/>
  <c r="BZ13" i="1"/>
  <c r="BZ14" i="1"/>
  <c r="BZ15" i="1"/>
  <c r="BZ16" i="1"/>
  <c r="BZ18" i="1"/>
  <c r="BZ19" i="1"/>
  <c r="BZ20" i="1"/>
  <c r="BZ22" i="1"/>
  <c r="BZ25" i="1"/>
  <c r="BZ27" i="1"/>
  <c r="BZ29" i="1"/>
  <c r="BZ30" i="1"/>
  <c r="BZ31" i="1"/>
  <c r="BZ32" i="1"/>
  <c r="BZ38" i="1"/>
  <c r="BZ40" i="1"/>
  <c r="BZ41" i="1"/>
  <c r="BZ42" i="1"/>
  <c r="BZ44" i="1"/>
  <c r="BZ45" i="1"/>
  <c r="BZ46" i="1"/>
  <c r="BZ50" i="1"/>
  <c r="BZ51" i="1"/>
  <c r="BZ52" i="1"/>
  <c r="BZ53" i="1"/>
  <c r="BZ54" i="1"/>
  <c r="BZ55" i="1"/>
  <c r="BZ56" i="1"/>
  <c r="BZ58" i="1"/>
  <c r="BZ59" i="1"/>
  <c r="BZ60" i="1"/>
  <c r="BZ62" i="1"/>
  <c r="BZ63" i="1"/>
  <c r="BZ64" i="1"/>
  <c r="BZ65" i="1"/>
  <c r="BZ67" i="1"/>
  <c r="BZ68" i="1"/>
  <c r="BZ70" i="1"/>
  <c r="BZ71" i="1"/>
  <c r="BZ72" i="1"/>
  <c r="BZ73" i="1"/>
  <c r="BZ75" i="1"/>
  <c r="BZ77" i="1"/>
  <c r="BZ78" i="1"/>
  <c r="BZ80" i="1"/>
  <c r="BZ81" i="1"/>
  <c r="BZ82" i="1"/>
  <c r="BZ83" i="1"/>
  <c r="BZ85" i="1"/>
  <c r="BZ87" i="1"/>
  <c r="BZ89" i="1"/>
  <c r="BZ91" i="1"/>
  <c r="BZ92" i="1"/>
  <c r="BZ94" i="1"/>
  <c r="BZ95" i="1"/>
  <c r="BZ2" i="1"/>
  <c r="BX7" i="1"/>
  <c r="BX10" i="1"/>
  <c r="BX16" i="1"/>
  <c r="BX33" i="1"/>
  <c r="BX36" i="1"/>
  <c r="BX47" i="1"/>
  <c r="BX50" i="1"/>
  <c r="BX58" i="1"/>
  <c r="BX63" i="1"/>
  <c r="BX69" i="1"/>
  <c r="BX74" i="1"/>
  <c r="BX75" i="1"/>
  <c r="BX76" i="1"/>
  <c r="BX83" i="1"/>
  <c r="BX86" i="1"/>
  <c r="BX89" i="1"/>
  <c r="BX90" i="1"/>
  <c r="BX92" i="1"/>
  <c r="BX96" i="1"/>
  <c r="BP2" i="1"/>
  <c r="BP3" i="1"/>
  <c r="BP4" i="1"/>
  <c r="BP5" i="1"/>
  <c r="BP6" i="1"/>
  <c r="BP8" i="1"/>
  <c r="BP9" i="1"/>
  <c r="BP10" i="1"/>
  <c r="BP11" i="1"/>
  <c r="BP12" i="1"/>
  <c r="BP13" i="1"/>
  <c r="BP14" i="1"/>
  <c r="BP15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4" i="1"/>
  <c r="BP35" i="1"/>
  <c r="BP37" i="1"/>
  <c r="BP38" i="1"/>
  <c r="BP39" i="1"/>
  <c r="BP40" i="1"/>
  <c r="BP41" i="1"/>
  <c r="BP42" i="1"/>
  <c r="BP43" i="1"/>
  <c r="BP44" i="1"/>
  <c r="BP45" i="1"/>
  <c r="BP46" i="1"/>
  <c r="BP48" i="1"/>
  <c r="BP49" i="1"/>
  <c r="BP51" i="1"/>
  <c r="BP52" i="1"/>
  <c r="BP53" i="1"/>
  <c r="BP54" i="1"/>
  <c r="BP55" i="1"/>
  <c r="BP56" i="1"/>
  <c r="BP57" i="1"/>
  <c r="BP59" i="1"/>
  <c r="BP60" i="1"/>
  <c r="BP61" i="1"/>
  <c r="BP62" i="1"/>
  <c r="BP64" i="1"/>
  <c r="BP65" i="1"/>
  <c r="BP66" i="1"/>
  <c r="BP67" i="1"/>
  <c r="BP68" i="1"/>
  <c r="BP70" i="1"/>
  <c r="BP71" i="1"/>
  <c r="BP72" i="1"/>
  <c r="BP73" i="1"/>
  <c r="BP76" i="1"/>
  <c r="BP77" i="1"/>
  <c r="BP78" i="1"/>
  <c r="BP79" i="1"/>
  <c r="BP80" i="1"/>
  <c r="BP81" i="1"/>
  <c r="BP82" i="1"/>
  <c r="BP84" i="1"/>
  <c r="BP85" i="1"/>
  <c r="BP86" i="1"/>
  <c r="BP87" i="1"/>
  <c r="BP88" i="1"/>
  <c r="BP91" i="1"/>
  <c r="BP93" i="1"/>
  <c r="BP94" i="1"/>
  <c r="BP95" i="1"/>
  <c r="BU95" i="1"/>
  <c r="BX95" i="1" s="1"/>
  <c r="BU94" i="1"/>
  <c r="BX94" i="1" s="1"/>
  <c r="BU93" i="1"/>
  <c r="BX93" i="1" s="1"/>
  <c r="BU91" i="1"/>
  <c r="BX91" i="1" s="1"/>
  <c r="BU88" i="1"/>
  <c r="BX88" i="1" s="1"/>
  <c r="BU87" i="1"/>
  <c r="BX87" i="1" s="1"/>
  <c r="BU85" i="1"/>
  <c r="BX85" i="1" s="1"/>
  <c r="BU84" i="1"/>
  <c r="BX84" i="1" s="1"/>
  <c r="BU82" i="1"/>
  <c r="BX82" i="1" s="1"/>
  <c r="BU81" i="1"/>
  <c r="BX81" i="1" s="1"/>
  <c r="BU80" i="1"/>
  <c r="BX80" i="1" s="1"/>
  <c r="BU79" i="1"/>
  <c r="BX79" i="1" s="1"/>
  <c r="BU78" i="1"/>
  <c r="BX78" i="1" s="1"/>
  <c r="BU77" i="1"/>
  <c r="BX77" i="1" s="1"/>
  <c r="BU73" i="1"/>
  <c r="BX73" i="1" s="1"/>
  <c r="BU72" i="1"/>
  <c r="BX72" i="1" s="1"/>
  <c r="BU71" i="1"/>
  <c r="BX71" i="1" s="1"/>
  <c r="BU70" i="1"/>
  <c r="BX70" i="1" s="1"/>
  <c r="BU68" i="1"/>
  <c r="BX68" i="1" s="1"/>
  <c r="BU67" i="1"/>
  <c r="BX67" i="1" s="1"/>
  <c r="BU66" i="1"/>
  <c r="BX66" i="1" s="1"/>
  <c r="BU65" i="1"/>
  <c r="BX65" i="1" s="1"/>
  <c r="BU64" i="1"/>
  <c r="BX64" i="1" s="1"/>
  <c r="BU62" i="1"/>
  <c r="BX62" i="1" s="1"/>
  <c r="BU61" i="1"/>
  <c r="BX61" i="1" s="1"/>
  <c r="BU60" i="1"/>
  <c r="BX60" i="1" s="1"/>
  <c r="BU59" i="1"/>
  <c r="BX59" i="1" s="1"/>
  <c r="BU57" i="1"/>
  <c r="BX57" i="1" s="1"/>
  <c r="BU56" i="1"/>
  <c r="BX56" i="1" s="1"/>
  <c r="BU55" i="1"/>
  <c r="BX55" i="1" s="1"/>
  <c r="BU54" i="1"/>
  <c r="BX54" i="1" s="1"/>
  <c r="BU53" i="1"/>
  <c r="BX53" i="1" s="1"/>
  <c r="BU52" i="1"/>
  <c r="BX52" i="1" s="1"/>
  <c r="BU51" i="1"/>
  <c r="BX51" i="1" s="1"/>
  <c r="BU49" i="1"/>
  <c r="BX49" i="1" s="1"/>
  <c r="BU48" i="1"/>
  <c r="BX48" i="1" s="1"/>
  <c r="BU46" i="1"/>
  <c r="BX46" i="1" s="1"/>
  <c r="BU45" i="1"/>
  <c r="BX45" i="1" s="1"/>
  <c r="BU44" i="1"/>
  <c r="BX44" i="1" s="1"/>
  <c r="BU43" i="1"/>
  <c r="BX43" i="1" s="1"/>
  <c r="BU42" i="1"/>
  <c r="BX42" i="1" s="1"/>
  <c r="BU41" i="1"/>
  <c r="BX41" i="1" s="1"/>
  <c r="BU40" i="1"/>
  <c r="BX40" i="1" s="1"/>
  <c r="BU39" i="1"/>
  <c r="BX39" i="1" s="1"/>
  <c r="BU38" i="1"/>
  <c r="BX38" i="1" s="1"/>
  <c r="BU37" i="1"/>
  <c r="BX37" i="1" s="1"/>
  <c r="BU35" i="1"/>
  <c r="BX35" i="1" s="1"/>
  <c r="BU34" i="1"/>
  <c r="BX34" i="1" s="1"/>
  <c r="BU32" i="1"/>
  <c r="BX32" i="1" s="1"/>
  <c r="BU31" i="1"/>
  <c r="BX31" i="1" s="1"/>
  <c r="BU30" i="1"/>
  <c r="BX30" i="1" s="1"/>
  <c r="BU29" i="1"/>
  <c r="BX29" i="1" s="1"/>
  <c r="BU28" i="1"/>
  <c r="BX28" i="1" s="1"/>
  <c r="BU27" i="1"/>
  <c r="BX27" i="1" s="1"/>
  <c r="BU26" i="1"/>
  <c r="BX26" i="1" s="1"/>
  <c r="BU25" i="1"/>
  <c r="BX25" i="1" s="1"/>
  <c r="BU24" i="1"/>
  <c r="BX24" i="1" s="1"/>
  <c r="BU23" i="1"/>
  <c r="BX23" i="1" s="1"/>
  <c r="BU22" i="1"/>
  <c r="BX22" i="1" s="1"/>
  <c r="BU21" i="1"/>
  <c r="BX21" i="1" s="1"/>
  <c r="BU20" i="1"/>
  <c r="BX20" i="1" s="1"/>
  <c r="BU19" i="1"/>
  <c r="BX19" i="1" s="1"/>
  <c r="BU18" i="1"/>
  <c r="BX18" i="1" s="1"/>
  <c r="BU17" i="1"/>
  <c r="BX17" i="1" s="1"/>
  <c r="BU15" i="1"/>
  <c r="BX15" i="1" s="1"/>
  <c r="BU14" i="1"/>
  <c r="BX14" i="1" s="1"/>
  <c r="BU13" i="1"/>
  <c r="BX13" i="1" s="1"/>
  <c r="BU12" i="1"/>
  <c r="BX12" i="1" s="1"/>
  <c r="BU11" i="1"/>
  <c r="BX11" i="1" s="1"/>
  <c r="BU9" i="1"/>
  <c r="BX9" i="1" s="1"/>
  <c r="BU8" i="1"/>
  <c r="BX8" i="1" s="1"/>
  <c r="BU6" i="1"/>
  <c r="BX6" i="1" s="1"/>
  <c r="BU5" i="1"/>
  <c r="BX5" i="1" s="1"/>
  <c r="BU4" i="1"/>
  <c r="BX4" i="1" s="1"/>
  <c r="BU3" i="1"/>
  <c r="BX3" i="1" s="1"/>
  <c r="BU2" i="1"/>
  <c r="BX2" i="1" s="1"/>
  <c r="EL3" i="1" l="1"/>
  <c r="EL4" i="1"/>
  <c r="EL5" i="1"/>
  <c r="EL6" i="1"/>
  <c r="EL7" i="1"/>
  <c r="EL8" i="1"/>
  <c r="EL9" i="1"/>
  <c r="EL11" i="1"/>
  <c r="EL12" i="1"/>
  <c r="EL13" i="1"/>
  <c r="EL14" i="1"/>
  <c r="EL15" i="1"/>
  <c r="EL16" i="1"/>
  <c r="EL17" i="1"/>
  <c r="EL18" i="1"/>
  <c r="EL19" i="1"/>
  <c r="EL20" i="1"/>
  <c r="EL21" i="1"/>
  <c r="EL22" i="1"/>
  <c r="EL23" i="1"/>
  <c r="EL24" i="1"/>
  <c r="EL25" i="1"/>
  <c r="EL26" i="1"/>
  <c r="EL27" i="1"/>
  <c r="EL28" i="1"/>
  <c r="EL29" i="1"/>
  <c r="EL30" i="1"/>
  <c r="EL31" i="1"/>
  <c r="EL32" i="1"/>
  <c r="EL33" i="1"/>
  <c r="EL34" i="1"/>
  <c r="EL35" i="1"/>
  <c r="EL36" i="1"/>
  <c r="EL37" i="1"/>
  <c r="EL38" i="1"/>
  <c r="EL39" i="1"/>
  <c r="EL40" i="1"/>
  <c r="EL41" i="1"/>
  <c r="EL42" i="1"/>
  <c r="EL43" i="1"/>
  <c r="EL44" i="1"/>
  <c r="EL45" i="1"/>
  <c r="EL46" i="1"/>
  <c r="EL47" i="1"/>
  <c r="EL48" i="1"/>
  <c r="EL49" i="1"/>
  <c r="EL50" i="1"/>
  <c r="EL51" i="1"/>
  <c r="EL52" i="1"/>
  <c r="EL53" i="1"/>
  <c r="EL54" i="1"/>
  <c r="EL55" i="1"/>
  <c r="EL56" i="1"/>
  <c r="EL57" i="1"/>
  <c r="EL58" i="1"/>
  <c r="EL59" i="1"/>
  <c r="EL60" i="1"/>
  <c r="EL61" i="1"/>
  <c r="EL62" i="1"/>
  <c r="EL63" i="1"/>
  <c r="EL64" i="1"/>
  <c r="EL65" i="1"/>
  <c r="EL66" i="1"/>
  <c r="EL67" i="1"/>
  <c r="EL68" i="1"/>
  <c r="EL69" i="1"/>
  <c r="EL70" i="1"/>
  <c r="EL71" i="1"/>
  <c r="EL72" i="1"/>
  <c r="EL73" i="1"/>
  <c r="EL74" i="1"/>
  <c r="EL75" i="1"/>
  <c r="EL76" i="1"/>
  <c r="EL77" i="1"/>
  <c r="EL78" i="1"/>
  <c r="EL79" i="1"/>
  <c r="EL80" i="1"/>
  <c r="EL81" i="1"/>
  <c r="EL82" i="1"/>
  <c r="EL83" i="1"/>
  <c r="EL84" i="1"/>
  <c r="EL85" i="1"/>
  <c r="EL86" i="1"/>
  <c r="EL87" i="1"/>
  <c r="EL88" i="1"/>
  <c r="EL89" i="1"/>
  <c r="EL90" i="1"/>
  <c r="EL91" i="1"/>
  <c r="EL92" i="1"/>
  <c r="EL93" i="1"/>
  <c r="EL94" i="1"/>
  <c r="EL95" i="1"/>
  <c r="EL2" i="1"/>
  <c r="DY93" i="1"/>
  <c r="DY92" i="1"/>
  <c r="DY91" i="1"/>
  <c r="DY86" i="1"/>
  <c r="DY85" i="1"/>
  <c r="DY81" i="1"/>
  <c r="DY79" i="1"/>
  <c r="DY69" i="1"/>
  <c r="DY66" i="1"/>
  <c r="DY62" i="1"/>
  <c r="DY61" i="1"/>
  <c r="DY55" i="1"/>
  <c r="DY50" i="1"/>
  <c r="DY19" i="1"/>
  <c r="ED95" i="1"/>
  <c r="ED93" i="1"/>
  <c r="ED92" i="1"/>
  <c r="ED91" i="1"/>
  <c r="ED86" i="1"/>
  <c r="ED85" i="1"/>
  <c r="ED81" i="1"/>
  <c r="ED79" i="1"/>
  <c r="ED78" i="1"/>
  <c r="ED75" i="1"/>
  <c r="ED73" i="1"/>
  <c r="ED66" i="1"/>
  <c r="ED64" i="1"/>
  <c r="ED62" i="1"/>
  <c r="ED61" i="1"/>
  <c r="ED60" i="1"/>
  <c r="ED57" i="1"/>
  <c r="ED55" i="1"/>
  <c r="ED54" i="1"/>
  <c r="ED50" i="1"/>
  <c r="ED45" i="1"/>
  <c r="ED41" i="1"/>
  <c r="ED40" i="1"/>
  <c r="ED22" i="1"/>
  <c r="ED19" i="1"/>
  <c r="ED4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2" i="1"/>
  <c r="FJ92" i="1"/>
  <c r="FJ83" i="1"/>
  <c r="FJ81" i="1"/>
  <c r="FJ76" i="1"/>
  <c r="FJ43" i="1"/>
  <c r="FJ21" i="1"/>
  <c r="FE93" i="1"/>
  <c r="FE88" i="1"/>
  <c r="FE70" i="1"/>
  <c r="FE57" i="1"/>
  <c r="FE42" i="1"/>
  <c r="FE36" i="1"/>
  <c r="FE27" i="1"/>
  <c r="FE8" i="1"/>
  <c r="DB3" i="1"/>
  <c r="DB4" i="1"/>
  <c r="DB5" i="1"/>
  <c r="DB6" i="1"/>
  <c r="DB8" i="1"/>
  <c r="DB9" i="1"/>
  <c r="DB10" i="1"/>
  <c r="DB11" i="1"/>
  <c r="DB12" i="1"/>
  <c r="DB13" i="1"/>
  <c r="DB14" i="1"/>
  <c r="DB15" i="1"/>
  <c r="DB16" i="1"/>
  <c r="DB17" i="1"/>
  <c r="DB18" i="1"/>
  <c r="DB19" i="1"/>
  <c r="DB20" i="1"/>
  <c r="DB21" i="1"/>
  <c r="DB22" i="1"/>
  <c r="DB23" i="1"/>
  <c r="DB24" i="1"/>
  <c r="DB25" i="1"/>
  <c r="DB26" i="1"/>
  <c r="DB27" i="1"/>
  <c r="DB28" i="1"/>
  <c r="DB29" i="1"/>
  <c r="DB30" i="1"/>
  <c r="DB31" i="1"/>
  <c r="DB32" i="1"/>
  <c r="DB33" i="1"/>
  <c r="DB34" i="1"/>
  <c r="DB35" i="1"/>
  <c r="DB36" i="1"/>
  <c r="DB37" i="1"/>
  <c r="DB38" i="1"/>
  <c r="DB39" i="1"/>
  <c r="DB40" i="1"/>
  <c r="DB41" i="1"/>
  <c r="DB42" i="1"/>
  <c r="DB43" i="1"/>
  <c r="DB44" i="1"/>
  <c r="DB45" i="1"/>
  <c r="DB46" i="1"/>
  <c r="DB47" i="1"/>
  <c r="DB48" i="1"/>
  <c r="DB49" i="1"/>
  <c r="DB50" i="1"/>
  <c r="DB51" i="1"/>
  <c r="DB52" i="1"/>
  <c r="DB53" i="1"/>
  <c r="DB54" i="1"/>
  <c r="DB55" i="1"/>
  <c r="DB56" i="1"/>
  <c r="DB57" i="1"/>
  <c r="DB58" i="1"/>
  <c r="DB59" i="1"/>
  <c r="DB60" i="1"/>
  <c r="DB61" i="1"/>
  <c r="DB62" i="1"/>
  <c r="DB63" i="1"/>
  <c r="DB64" i="1"/>
  <c r="DB65" i="1"/>
  <c r="DB66" i="1"/>
  <c r="DB67" i="1"/>
  <c r="DB68" i="1"/>
  <c r="DB69" i="1"/>
  <c r="DB70" i="1"/>
  <c r="DB71" i="1"/>
  <c r="DB72" i="1"/>
  <c r="DB73" i="1"/>
  <c r="DB74" i="1"/>
  <c r="DB75" i="1"/>
  <c r="DB76" i="1"/>
  <c r="DB77" i="1"/>
  <c r="DB78" i="1"/>
  <c r="DB79" i="1"/>
  <c r="DB80" i="1"/>
  <c r="DB81" i="1"/>
  <c r="DB82" i="1"/>
  <c r="DB83" i="1"/>
  <c r="DB84" i="1"/>
  <c r="DB85" i="1"/>
  <c r="DB86" i="1"/>
  <c r="DB87" i="1"/>
  <c r="DB88" i="1"/>
  <c r="DB89" i="1"/>
  <c r="DB90" i="1"/>
  <c r="DB91" i="1"/>
  <c r="DB92" i="1"/>
  <c r="DB93" i="1"/>
  <c r="DB94" i="1"/>
  <c r="DB95" i="1"/>
  <c r="DB96" i="1"/>
  <c r="DB2" i="1"/>
</calcChain>
</file>

<file path=xl/sharedStrings.xml><?xml version="1.0" encoding="utf-8"?>
<sst xmlns="http://schemas.openxmlformats.org/spreadsheetml/2006/main" count="1165" uniqueCount="489">
  <si>
    <t>HOS_SERVICE_L1</t>
  </si>
  <si>
    <t>SURVI</t>
  </si>
  <si>
    <t>GASTRO-ENTEROLOGIE</t>
  </si>
  <si>
    <t>REA BEAUJON</t>
  </si>
  <si>
    <t>HEPATOLOGIE BEAUJON</t>
  </si>
  <si>
    <t>REANIMATION BEAUJON</t>
  </si>
  <si>
    <t>HEPATO</t>
  </si>
  <si>
    <t>CHIRURGIE DIGESTIVE</t>
  </si>
  <si>
    <t>HTA</t>
  </si>
  <si>
    <t>BPCO</t>
  </si>
  <si>
    <t>Nom</t>
  </si>
  <si>
    <t>Prénom</t>
  </si>
  <si>
    <t>DDN</t>
  </si>
  <si>
    <t xml:space="preserve">Age </t>
  </si>
  <si>
    <t>NIP</t>
  </si>
  <si>
    <t>H0F1</t>
  </si>
  <si>
    <t>Resection</t>
  </si>
  <si>
    <t>SGC_def</t>
  </si>
  <si>
    <t>DCD</t>
  </si>
  <si>
    <t>28/02/2019 ET 09/03/2019</t>
  </si>
  <si>
    <t>14/12/2017 ET 16/12/2017 ET 29/05/2019</t>
  </si>
  <si>
    <t>06/05/2018 et 07/05/2018</t>
  </si>
  <si>
    <t>06/11/2020 ET 10/11/2020</t>
  </si>
  <si>
    <t>LEROY</t>
  </si>
  <si>
    <t>JEAN CHRISTOPHE</t>
  </si>
  <si>
    <t>01/06/2020 ET 23/07/2020</t>
  </si>
  <si>
    <t>CASTRALE BELA</t>
  </si>
  <si>
    <t>GINETTE</t>
  </si>
  <si>
    <t>22/05/2022 ET 26052022</t>
  </si>
  <si>
    <t>ethnie</t>
  </si>
  <si>
    <t>vient de l'APHP</t>
  </si>
  <si>
    <t>département</t>
  </si>
  <si>
    <t>ATCD cardiovasc</t>
  </si>
  <si>
    <t>FDR cardio vasc</t>
  </si>
  <si>
    <t>Inclusion SURVIBIO</t>
  </si>
  <si>
    <t>diabète</t>
  </si>
  <si>
    <t>dyslipidémie</t>
  </si>
  <si>
    <t>tabac</t>
  </si>
  <si>
    <t>alcool</t>
  </si>
  <si>
    <t>toxicomanie</t>
  </si>
  <si>
    <t>cancer actif</t>
  </si>
  <si>
    <t>IRC dialysé</t>
  </si>
  <si>
    <t>VIH</t>
  </si>
  <si>
    <t>cirrhose</t>
  </si>
  <si>
    <t xml:space="preserve">colite ischémique </t>
  </si>
  <si>
    <t>ATCD chir vasculaire</t>
  </si>
  <si>
    <t>ATCD ischémie digestive</t>
  </si>
  <si>
    <t>Radiothérapie abdo</t>
  </si>
  <si>
    <t>ATCD résection intestin</t>
  </si>
  <si>
    <t>zéro ATCD</t>
  </si>
  <si>
    <t>POIDS</t>
  </si>
  <si>
    <t>TAILLE</t>
  </si>
  <si>
    <t>IMC</t>
  </si>
  <si>
    <t>température</t>
  </si>
  <si>
    <t>PAS</t>
  </si>
  <si>
    <t>PAD</t>
  </si>
  <si>
    <t>antalgiques palier 1/2/3</t>
  </si>
  <si>
    <t>DFG_CKDEPI</t>
  </si>
  <si>
    <t>date diagnostic</t>
  </si>
  <si>
    <t>date début PEC</t>
  </si>
  <si>
    <t>douleur abdo</t>
  </si>
  <si>
    <t>Sd occlusif</t>
  </si>
  <si>
    <t>Vomissements</t>
  </si>
  <si>
    <t>anorexie</t>
  </si>
  <si>
    <t>diarrhée</t>
  </si>
  <si>
    <t>hémorragie digestive</t>
  </si>
  <si>
    <t>irritation péritonéale</t>
  </si>
  <si>
    <t>distension abdo</t>
  </si>
  <si>
    <t>SIRS</t>
  </si>
  <si>
    <t>état de choc</t>
  </si>
  <si>
    <t>compression extrinsèque</t>
  </si>
  <si>
    <t>sténose anastomose veineuse</t>
  </si>
  <si>
    <t>durée d'hospit J</t>
  </si>
  <si>
    <t>date bio hémato</t>
  </si>
  <si>
    <t>PNN</t>
  </si>
  <si>
    <t>TP</t>
  </si>
  <si>
    <t>LDH</t>
  </si>
  <si>
    <t>CPK</t>
  </si>
  <si>
    <t>tropo</t>
  </si>
  <si>
    <t>CRP</t>
  </si>
  <si>
    <t>procalcitonine</t>
  </si>
  <si>
    <t>bicar</t>
  </si>
  <si>
    <t>lipase</t>
  </si>
  <si>
    <t>ASAT</t>
  </si>
  <si>
    <t>ALAT</t>
  </si>
  <si>
    <t>GGT</t>
  </si>
  <si>
    <t>PAL</t>
  </si>
  <si>
    <t>BILIT</t>
  </si>
  <si>
    <t>BILIC</t>
  </si>
  <si>
    <t>calprotectine fécale</t>
  </si>
  <si>
    <t>pH</t>
  </si>
  <si>
    <t>hémocultures</t>
  </si>
  <si>
    <t>microbiologie</t>
  </si>
  <si>
    <t>date plvt bactério</t>
  </si>
  <si>
    <t>Mise sous O2</t>
  </si>
  <si>
    <t>Delai - Premiere antiXa efficace</t>
  </si>
  <si>
    <t>CMV_aigu</t>
  </si>
  <si>
    <t>EBV_aigu</t>
  </si>
  <si>
    <t>COVID</t>
  </si>
  <si>
    <t>Stomie_DDN</t>
  </si>
  <si>
    <t>Lgrele</t>
  </si>
  <si>
    <t>%colon</t>
  </si>
  <si>
    <t>morphine</t>
  </si>
  <si>
    <t>CRP H 48</t>
  </si>
  <si>
    <t>Na/K &lt; 1</t>
  </si>
  <si>
    <t>revascularisation</t>
  </si>
  <si>
    <t>NB</t>
  </si>
  <si>
    <t>DCD à 1 mois de la prise en charge compte tenu de sa cirrhose grave en impasse thérapeutique</t>
  </si>
  <si>
    <t>NON</t>
  </si>
  <si>
    <t>Chronique ?</t>
  </si>
  <si>
    <t>&gt;20 000</t>
  </si>
  <si>
    <t>&gt;20000</t>
  </si>
  <si>
    <t>RethromboseV</t>
  </si>
  <si>
    <t>Date_prem_SF</t>
  </si>
  <si>
    <t>date_rentree_BJN</t>
  </si>
  <si>
    <t>sorti_d'hospit</t>
  </si>
  <si>
    <t>Jour_bio</t>
  </si>
  <si>
    <t>CRP_max</t>
  </si>
  <si>
    <t>CT1_Date</t>
  </si>
  <si>
    <t>CT1_Info</t>
  </si>
  <si>
    <t>CT1_NECT</t>
  </si>
  <si>
    <t>CT1_AP</t>
  </si>
  <si>
    <t>CT1_PVP</t>
  </si>
  <si>
    <t>CT1_DP</t>
  </si>
  <si>
    <t>CT1_SMV</t>
  </si>
  <si>
    <t>CT1_right_gastroepiploic_vein</t>
  </si>
  <si>
    <t>CT1_pancreaticoduodenal_veins</t>
  </si>
  <si>
    <t>CT1_middle_colic_vein</t>
  </si>
  <si>
    <t>CT1_right_colic_vein</t>
  </si>
  <si>
    <t>CT1_ileocolic_vein</t>
  </si>
  <si>
    <t>CT1_jejunal_veins</t>
  </si>
  <si>
    <t>CT1_ileal_veins</t>
  </si>
  <si>
    <t>CT1_IMV</t>
  </si>
  <si>
    <t>CT1_left_colic_vein</t>
  </si>
  <si>
    <t>CT1_rectosigmoid_veins</t>
  </si>
  <si>
    <t>CT1_superior_rectal_veins</t>
  </si>
  <si>
    <t>CT1_SV_permeable</t>
  </si>
  <si>
    <t>CT1_SV_partial_occlusion</t>
  </si>
  <si>
    <t>CT1_SV_complete_occlusion</t>
  </si>
  <si>
    <t>CT1_PV_permeable</t>
  </si>
  <si>
    <t>CT1_PV_partial_occlusion</t>
  </si>
  <si>
    <t>CT1_PV_complete_occlusion</t>
  </si>
  <si>
    <t>CT1_IHPV</t>
  </si>
  <si>
    <t>CT1_IHPV_partial_occlusion</t>
  </si>
  <si>
    <t>CT1_IHPV_complete_occlusion</t>
  </si>
  <si>
    <t>CT1_right</t>
  </si>
  <si>
    <t>CT1_left</t>
  </si>
  <si>
    <t>CT1_portal_cavernoma</t>
  </si>
  <si>
    <t>CT1_SMA_normal</t>
  </si>
  <si>
    <t>CT1_SMA_ostium_atherosclerotic_plaque</t>
  </si>
  <si>
    <t>CT1_SMA_diffuse_atherosclerotic_narrowing</t>
  </si>
  <si>
    <t>CT1_SMA_stenosis_(%)</t>
  </si>
  <si>
    <t>CT1_SMA_thrombosis</t>
  </si>
  <si>
    <t>CT1_TC_normal</t>
  </si>
  <si>
    <t>CT1_TC_ostium_atherosclerotic_plaque</t>
  </si>
  <si>
    <t>CT1_TC_stenosis (%)</t>
  </si>
  <si>
    <t>CT1_TC_thrombosis</t>
  </si>
  <si>
    <t>CT1_bowel_dilatation</t>
  </si>
  <si>
    <t>CT1_bowel_wall_thickening</t>
  </si>
  <si>
    <t>CT1_bowel_wall_decreased_enahncement</t>
  </si>
  <si>
    <t>CT1_bowel_wall_absent_enahncement</t>
  </si>
  <si>
    <t>CT1_bowel_wall_mucosal_enhancement</t>
  </si>
  <si>
    <t>CT1_bowel_wall_increased_attenuation_NECT</t>
  </si>
  <si>
    <t>CT1_target_sign_appearance</t>
  </si>
  <si>
    <t>CT1_mesenteric_fat_stranding</t>
  </si>
  <si>
    <t>CT1_pneumatosis_intestinalis</t>
  </si>
  <si>
    <t>CT1_portomesenteric_gas</t>
  </si>
  <si>
    <t>CT1_intestinal_perforation</t>
  </si>
  <si>
    <t>CT1_extrabowel_gas</t>
  </si>
  <si>
    <t>CT1_mesenteric_fluid_effusion</t>
  </si>
  <si>
    <t>CT1_ascites</t>
  </si>
  <si>
    <t>CT1_fluid_collection</t>
  </si>
  <si>
    <t>CT1_splenomegaly</t>
  </si>
  <si>
    <t>CT1_dysmorphic_vascular_liver</t>
  </si>
  <si>
    <t>CT2_Date</t>
  </si>
  <si>
    <t>CT2_Info</t>
  </si>
  <si>
    <t>CT2_NECT</t>
  </si>
  <si>
    <t>CT2_AP</t>
  </si>
  <si>
    <t>CT2_PVP</t>
  </si>
  <si>
    <t>CT2_DP</t>
  </si>
  <si>
    <t>CT2_SMV</t>
  </si>
  <si>
    <t>CT2_right_gastroepiploic_vein</t>
  </si>
  <si>
    <t>CT2_pancreaticoduodenal_veins</t>
  </si>
  <si>
    <t>CT2_middle_colic_vein</t>
  </si>
  <si>
    <t>CT2_right_colic_vein</t>
  </si>
  <si>
    <t>CT2_ileocolic_vein</t>
  </si>
  <si>
    <t>CT2_jejunal_veins</t>
  </si>
  <si>
    <t>CT2_ileal_veins</t>
  </si>
  <si>
    <t>CT2_IMV</t>
  </si>
  <si>
    <t>CT2_left_colic_vein</t>
  </si>
  <si>
    <t>CT2_rectosigmoid_veins</t>
  </si>
  <si>
    <t>CT2_superior_rectal_veins</t>
  </si>
  <si>
    <t>CT2_SV_permeable</t>
  </si>
  <si>
    <t>CT2_SV_partial_occlusion</t>
  </si>
  <si>
    <t>CT2_SV_complete_occlusion</t>
  </si>
  <si>
    <t>CT2_PV_permeable</t>
  </si>
  <si>
    <t>CT2_PV_partial_occlusion</t>
  </si>
  <si>
    <t>CT2_PV_complete_occlusion</t>
  </si>
  <si>
    <t>CT2_IHPV</t>
  </si>
  <si>
    <t>CT2_IHPV_partial_occlusion</t>
  </si>
  <si>
    <t>CT2_IHPV_complete_occlusion</t>
  </si>
  <si>
    <t>CT2_right</t>
  </si>
  <si>
    <t>CT2_left</t>
  </si>
  <si>
    <t>CT2_portal_cavernoma</t>
  </si>
  <si>
    <t>CT2_SMA_normal</t>
  </si>
  <si>
    <t>CT2_SMA_ostium_atherosclerotic_plaque</t>
  </si>
  <si>
    <t>CT2_SMA_diffuse_atherosclerotic_narrowing</t>
  </si>
  <si>
    <t>CT2_SMA_stenosis_(%)</t>
  </si>
  <si>
    <t>CT2_SMA_thrombosis</t>
  </si>
  <si>
    <t>CT2_TC_normal</t>
  </si>
  <si>
    <t>CT2_TC_ostium_atherosclerotic_plaque</t>
  </si>
  <si>
    <t>CT2_TC_stenosis (%)</t>
  </si>
  <si>
    <t>CT2_TC_thrombosis</t>
  </si>
  <si>
    <t>CT2_bowel_dilatation</t>
  </si>
  <si>
    <t>CT2_bowel_wall_thickening</t>
  </si>
  <si>
    <t>CT2_bowel_wall_decreased_enahncement</t>
  </si>
  <si>
    <t>CT2_bowel_wall_absent_enahncement</t>
  </si>
  <si>
    <t>CT2_bowel_wall_mucosal_enhancement</t>
  </si>
  <si>
    <t>CT2_bowel_wall_increased_attenuation_NECT</t>
  </si>
  <si>
    <t>CT2_target_sign_appearance</t>
  </si>
  <si>
    <t>CT2_mesenteric_fat_stranding</t>
  </si>
  <si>
    <t>CT2_pneumatosis_intestinalis</t>
  </si>
  <si>
    <t>CT2_portomesenteric_gas</t>
  </si>
  <si>
    <t>CT2_intestinal_perforation</t>
  </si>
  <si>
    <t>CT2_extrabowel_gas</t>
  </si>
  <si>
    <t>CT2_mesenteric_fluid_effusion</t>
  </si>
  <si>
    <t>CT2_ascites</t>
  </si>
  <si>
    <t>CT2_fluid_collection</t>
  </si>
  <si>
    <t>CT2_splenomegaly</t>
  </si>
  <si>
    <t>CT2_dysmorphic_vascular_liver</t>
  </si>
  <si>
    <t>no bjn</t>
  </si>
  <si>
    <t>bjn</t>
  </si>
  <si>
    <t>&lt;25</t>
  </si>
  <si>
    <t>25-50</t>
  </si>
  <si>
    <t>50-75</t>
  </si>
  <si>
    <t/>
  </si>
  <si>
    <t>1 right</t>
  </si>
  <si>
    <t>Date_resection</t>
  </si>
  <si>
    <t>N</t>
  </si>
  <si>
    <t>lactate_H48</t>
  </si>
  <si>
    <t>lactate</t>
  </si>
  <si>
    <t>leuco_H48</t>
  </si>
  <si>
    <t>PCT_H48</t>
  </si>
  <si>
    <t>PCT_max</t>
  </si>
  <si>
    <t>Leuco_max</t>
  </si>
  <si>
    <t>Nécrose + péritonite</t>
  </si>
  <si>
    <t>J_resection</t>
  </si>
  <si>
    <t>N_resection</t>
  </si>
  <si>
    <t>dates_resection</t>
  </si>
  <si>
    <t>RC_date</t>
  </si>
  <si>
    <t>last_news</t>
  </si>
  <si>
    <t>Morphine_survibase</t>
  </si>
  <si>
    <t>Def_PS</t>
  </si>
  <si>
    <t>Def_PC</t>
  </si>
  <si>
    <t>Def_AT</t>
  </si>
  <si>
    <t>Mut_V</t>
  </si>
  <si>
    <t>Mut_II</t>
  </si>
  <si>
    <t>Mut_JAK2</t>
  </si>
  <si>
    <t>Mut_CALR</t>
  </si>
  <si>
    <t>Mut-MTHFR</t>
  </si>
  <si>
    <t>HHC</t>
  </si>
  <si>
    <t>SAPL</t>
  </si>
  <si>
    <t>Contexte_inf</t>
  </si>
  <si>
    <t>Contexte_K</t>
  </si>
  <si>
    <t>Contexte_cirr</t>
  </si>
  <si>
    <t>Realim_J5</t>
  </si>
  <si>
    <t>DouleurJ5_aggrav</t>
  </si>
  <si>
    <t>DouleurJ5_persist_ou_aggrav</t>
  </si>
  <si>
    <t>Delai_SF_BJN</t>
  </si>
  <si>
    <t>Adm_REA</t>
  </si>
  <si>
    <t>7,4°</t>
  </si>
  <si>
    <t>Hb</t>
  </si>
  <si>
    <t>Lympho</t>
  </si>
  <si>
    <t>Plaquettes</t>
  </si>
  <si>
    <t>Fg</t>
  </si>
  <si>
    <t>Ddim</t>
  </si>
  <si>
    <t>Plaquettes_max</t>
  </si>
  <si>
    <t>Ddim_max</t>
  </si>
  <si>
    <t>Creat</t>
  </si>
  <si>
    <t>Uree</t>
  </si>
  <si>
    <t>Leuco</t>
  </si>
  <si>
    <t>lactate_max</t>
  </si>
  <si>
    <t>hémocultures_pos</t>
  </si>
  <si>
    <t>microbio_pos</t>
  </si>
  <si>
    <t>Hemoc_germ</t>
  </si>
  <si>
    <t>Microbio_peritoine</t>
  </si>
  <si>
    <t>stent porte</t>
  </si>
  <si>
    <t>Commentaires</t>
  </si>
  <si>
    <t>Sténose post ischémique : résection de 45 cm à 2m80 du treitz, l'apath a montré une ischémie transmurale responsable d'une sténose de 5cm avec perforation bouchée et péritonite focale</t>
  </si>
  <si>
    <t>CT1_TC_stenosis_sup25</t>
  </si>
  <si>
    <t>CT1_TC_stenosis_sup50</t>
  </si>
  <si>
    <t>75-100</t>
  </si>
  <si>
    <t>CT1_SMA_stenosis_sup25</t>
  </si>
  <si>
    <t>CT1_SMA_stenosis_sup50</t>
  </si>
  <si>
    <t>Necrose</t>
  </si>
  <si>
    <t>Suivi</t>
  </si>
  <si>
    <t>CRPJ1_sur_J3</t>
  </si>
  <si>
    <t>CTmax_NECT</t>
  </si>
  <si>
    <t>CTmax_AP</t>
  </si>
  <si>
    <t>CTmax_PVP</t>
  </si>
  <si>
    <t>CTmax_DP</t>
  </si>
  <si>
    <t>CTmax_SMV</t>
  </si>
  <si>
    <t>CTmax_right_gastroepiploic_vein</t>
  </si>
  <si>
    <t>CTmax_pancreaticoduodenal_veins</t>
  </si>
  <si>
    <t>CTmax_middle_colic_vein</t>
  </si>
  <si>
    <t>CTmax_right_colic_vein</t>
  </si>
  <si>
    <t>CTmax_ileocolic_vein</t>
  </si>
  <si>
    <t>CTmax_jejunal_veins</t>
  </si>
  <si>
    <t>CTmax_ileal_veins</t>
  </si>
  <si>
    <t>CTmax_IMV</t>
  </si>
  <si>
    <t>CTmax_left_colic_vein</t>
  </si>
  <si>
    <t>CTmax_rectosigmoid_veins</t>
  </si>
  <si>
    <t>CTmax_superior_rectal_veins</t>
  </si>
  <si>
    <t>CTmax_SV_permeable</t>
  </si>
  <si>
    <t>CTmax_SV_partial_occlusion</t>
  </si>
  <si>
    <t>CTmax_SV_complete_occlusion</t>
  </si>
  <si>
    <t>CTmax_PV_permeable</t>
  </si>
  <si>
    <t>CTmax_PV_partial_occlusion</t>
  </si>
  <si>
    <t>CTmax_PV_complete_occlusion</t>
  </si>
  <si>
    <t>CTmax_IHPV</t>
  </si>
  <si>
    <t>CTmax_IHPV_partial_occlusion</t>
  </si>
  <si>
    <t>CTmax_IHPV_complete_occlusion</t>
  </si>
  <si>
    <t>CTmax_right</t>
  </si>
  <si>
    <t>CTmax_left</t>
  </si>
  <si>
    <t>CTmax_portal_cavernoma</t>
  </si>
  <si>
    <t>CTmax_SMA_normal</t>
  </si>
  <si>
    <t>CTmax_SMA_ostium_atherosclerotic_plaque</t>
  </si>
  <si>
    <t>CTmax_SMA_diffuse_atherosclerotic_narrowing</t>
  </si>
  <si>
    <t>CTmax_SMA_stenosis_sup25</t>
  </si>
  <si>
    <t>CTmax_SMA_stenosis_sup50</t>
  </si>
  <si>
    <t>CTmax_SMA_thrombosis</t>
  </si>
  <si>
    <t>CTmax_TC_normal</t>
  </si>
  <si>
    <t>CTmax_TC_ostium_atherosclerotic_plaque</t>
  </si>
  <si>
    <t>CTmax_TC_stenosis (%)</t>
  </si>
  <si>
    <t>CTmax_TC_stenosis_sup25</t>
  </si>
  <si>
    <t>CTmax_TC_stenosis_sup50</t>
  </si>
  <si>
    <t>CTmax_TC_thrombosis</t>
  </si>
  <si>
    <t>CTmax_bowel_dilatation</t>
  </si>
  <si>
    <t>CTmax_bowel_wall_thickening</t>
  </si>
  <si>
    <t>CTmax_bowel_wall_decreased_enahncement</t>
  </si>
  <si>
    <t>CTmax_bowel_wall_absent_enahncement</t>
  </si>
  <si>
    <t>CTmax_bowel_wall_mucosal_enhancement</t>
  </si>
  <si>
    <t>CTmax_bowel_wall_increased_attenuation_NECT</t>
  </si>
  <si>
    <t>CTmax_target_sign_appearance</t>
  </si>
  <si>
    <t>CTmax_mesenteric_fat_stranding</t>
  </si>
  <si>
    <t>CTmax_pneumatosis_intestinalis</t>
  </si>
  <si>
    <t>CTmax_portomesenteric_gas</t>
  </si>
  <si>
    <t>CTmax_intestinal_perforation</t>
  </si>
  <si>
    <t>CTmax_extrabowel_gas</t>
  </si>
  <si>
    <t>CTmax_mesenteric_fluid_effusion</t>
  </si>
  <si>
    <t>CTmax_ascites</t>
  </si>
  <si>
    <t>CTmax_fluid_collection</t>
  </si>
  <si>
    <t>CTmax_splenomegaly</t>
  </si>
  <si>
    <t>CTmax_dysmorphic_vascular_liver</t>
  </si>
  <si>
    <t>CTmax_Date</t>
  </si>
  <si>
    <t>CTmax_Info</t>
  </si>
  <si>
    <t>CTmax_SMA_stenosis_%</t>
  </si>
  <si>
    <t>IncreasedNECT_OR_DecreasedECT</t>
  </si>
  <si>
    <t>IncreasedNECT_AND_DecreasedECT</t>
  </si>
  <si>
    <t>CRPJ3-J1</t>
  </si>
  <si>
    <t>SOFACardio1</t>
  </si>
  <si>
    <t>SOFARespi1</t>
  </si>
  <si>
    <t>SOFANeuro1</t>
  </si>
  <si>
    <t>SOFAHem1</t>
  </si>
  <si>
    <t>SOFARein1</t>
  </si>
  <si>
    <t>SOFABili1</t>
  </si>
  <si>
    <t>SOFA1</t>
  </si>
  <si>
    <t>SOFACardio2</t>
  </si>
  <si>
    <t>SOFAResp2</t>
  </si>
  <si>
    <t>SOFANeuro2</t>
  </si>
  <si>
    <t>SOFAHem2</t>
  </si>
  <si>
    <t>SOFARein2</t>
  </si>
  <si>
    <t>SOFABili2</t>
  </si>
  <si>
    <t>SOFA2</t>
  </si>
  <si>
    <t>1_SOFA_sup2</t>
  </si>
  <si>
    <t>1_SOFA2_sup2</t>
  </si>
  <si>
    <t>1_SOFA12_sup2</t>
  </si>
  <si>
    <t>Leuco_max_15</t>
  </si>
  <si>
    <t>Lactate_sup2</t>
  </si>
  <si>
    <t>CRP_sup200</t>
  </si>
  <si>
    <t>Perfo_OR_absent_OR_DecreasedECT</t>
  </si>
  <si>
    <t>Perfo_OR_absent_OR_increasedNECT_DecreasedECT</t>
  </si>
  <si>
    <t>PICE_stenose</t>
  </si>
  <si>
    <t>pas de scan 1ere résection</t>
  </si>
  <si>
    <t>Necrose_peritonitis</t>
  </si>
  <si>
    <t>Ct1-2_Persistent_decreased_enhancement</t>
  </si>
  <si>
    <t>Persistent_bowel_dilatation</t>
  </si>
  <si>
    <t>Apparition_increased_NECT</t>
  </si>
  <si>
    <t>CRP_H48_200</t>
  </si>
  <si>
    <t>Necrose_purs</t>
  </si>
  <si>
    <t>Lactate_H48_15</t>
  </si>
  <si>
    <t>Leuco_H48_12</t>
  </si>
  <si>
    <t>Thrombophilie</t>
  </si>
  <si>
    <t>Patient_ID</t>
  </si>
  <si>
    <t>PAT_001</t>
  </si>
  <si>
    <t>PAT_002</t>
  </si>
  <si>
    <t>PAT_003</t>
  </si>
  <si>
    <t>PAT_004</t>
  </si>
  <si>
    <t>PAT_005</t>
  </si>
  <si>
    <t>PAT_006</t>
  </si>
  <si>
    <t>PAT_007</t>
  </si>
  <si>
    <t>PAT_008</t>
  </si>
  <si>
    <t>PAT_009</t>
  </si>
  <si>
    <t>PAT_010</t>
  </si>
  <si>
    <t>PAT_011</t>
  </si>
  <si>
    <t>PAT_012</t>
  </si>
  <si>
    <t>PAT_013</t>
  </si>
  <si>
    <t>PAT_014</t>
  </si>
  <si>
    <t>PAT_015</t>
  </si>
  <si>
    <t>PAT_016</t>
  </si>
  <si>
    <t>PAT_017</t>
  </si>
  <si>
    <t>PAT_018</t>
  </si>
  <si>
    <t>PAT_019</t>
  </si>
  <si>
    <t>PAT_020</t>
  </si>
  <si>
    <t>PAT_021</t>
  </si>
  <si>
    <t>PAT_022</t>
  </si>
  <si>
    <t>PAT_023</t>
  </si>
  <si>
    <t>PAT_024</t>
  </si>
  <si>
    <t>PAT_025</t>
  </si>
  <si>
    <t>PAT_026</t>
  </si>
  <si>
    <t>PAT_027</t>
  </si>
  <si>
    <t>PAT_028</t>
  </si>
  <si>
    <t>PAT_029</t>
  </si>
  <si>
    <t>PAT_030</t>
  </si>
  <si>
    <t>PAT_031</t>
  </si>
  <si>
    <t>PAT_032</t>
  </si>
  <si>
    <t>PAT_033</t>
  </si>
  <si>
    <t>PAT_034</t>
  </si>
  <si>
    <t>PAT_035</t>
  </si>
  <si>
    <t>PAT_036</t>
  </si>
  <si>
    <t>PAT_037</t>
  </si>
  <si>
    <t>PAT_038</t>
  </si>
  <si>
    <t>PAT_039</t>
  </si>
  <si>
    <t>PAT_040</t>
  </si>
  <si>
    <t>PAT_041</t>
  </si>
  <si>
    <t>PAT_042</t>
  </si>
  <si>
    <t>PAT_043</t>
  </si>
  <si>
    <t>PAT_044</t>
  </si>
  <si>
    <t>PAT_045</t>
  </si>
  <si>
    <t>PAT_046</t>
  </si>
  <si>
    <t>PAT_047</t>
  </si>
  <si>
    <t>PAT_048</t>
  </si>
  <si>
    <t>PAT_049</t>
  </si>
  <si>
    <t>PAT_050</t>
  </si>
  <si>
    <t>PAT_051</t>
  </si>
  <si>
    <t>PAT_052</t>
  </si>
  <si>
    <t>PAT_053</t>
  </si>
  <si>
    <t>PAT_054</t>
  </si>
  <si>
    <t>PAT_055</t>
  </si>
  <si>
    <t>PAT_056</t>
  </si>
  <si>
    <t>PAT_057</t>
  </si>
  <si>
    <t>PAT_058</t>
  </si>
  <si>
    <t>PAT_059</t>
  </si>
  <si>
    <t>PAT_060</t>
  </si>
  <si>
    <t>PAT_061</t>
  </si>
  <si>
    <t>PAT_062</t>
  </si>
  <si>
    <t>PAT_063</t>
  </si>
  <si>
    <t>PAT_064</t>
  </si>
  <si>
    <t>PAT_065</t>
  </si>
  <si>
    <t>PAT_066</t>
  </si>
  <si>
    <t>PAT_067</t>
  </si>
  <si>
    <t>PAT_068</t>
  </si>
  <si>
    <t>PAT_069</t>
  </si>
  <si>
    <t>PAT_070</t>
  </si>
  <si>
    <t>PAT_071</t>
  </si>
  <si>
    <t>PAT_072</t>
  </si>
  <si>
    <t>PAT_073</t>
  </si>
  <si>
    <t>PAT_074</t>
  </si>
  <si>
    <t>PAT_075</t>
  </si>
  <si>
    <t>PAT_076</t>
  </si>
  <si>
    <t>PAT_077</t>
  </si>
  <si>
    <t>PAT_078</t>
  </si>
  <si>
    <t>PAT_079</t>
  </si>
  <si>
    <t>PAT_080</t>
  </si>
  <si>
    <t>PAT_081</t>
  </si>
  <si>
    <t>PAT_082</t>
  </si>
  <si>
    <t>PAT_083</t>
  </si>
  <si>
    <t>PAT_084</t>
  </si>
  <si>
    <t>PAT_085</t>
  </si>
  <si>
    <t>PAT_086</t>
  </si>
  <si>
    <t>PAT_087</t>
  </si>
  <si>
    <t>PAT_088</t>
  </si>
  <si>
    <t>PAT_089</t>
  </si>
  <si>
    <t>PAT_090</t>
  </si>
  <si>
    <t>PAT_091</t>
  </si>
  <si>
    <t>PAT_092</t>
  </si>
  <si>
    <t>PAT_093</t>
  </si>
  <si>
    <t>PAT_094</t>
  </si>
  <si>
    <t>PAT_095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</si>
</sst>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entury Gothic"/>
      <family val="1"/>
    </font>
    <font>
      <sz val="12"/>
      <name val="Calibri"/>
      <family val="2"/>
      <scheme val="minor"/>
    </font>
    <font>
      <b/>
      <sz val="14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4"/>
      <color rgb="FF000000"/>
      <name val="Arial"/>
      <family val="2"/>
    </font>
    <font>
      <sz val="11"/>
      <color theme="4"/>
      <name val="Calibri"/>
      <family val="2"/>
      <scheme val="minor"/>
    </font>
    <font>
      <sz val="11"/>
      <color rgb="FF9C65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rgb="FFF3F3F3"/>
      </patternFill>
    </fill>
    <fill>
      <patternFill patternType="solid">
        <fgColor theme="0" tint="-0.14999847407452621"/>
        <bgColor rgb="FFCCCCCC"/>
      </patternFill>
    </fill>
    <fill>
      <patternFill patternType="solid">
        <fgColor theme="0" tint="-0.14999847407452621"/>
        <bgColor rgb="FFEFEFEF"/>
      </patternFill>
    </fill>
    <fill>
      <patternFill patternType="solid">
        <fgColor theme="0" tint="-0.34998626667073579"/>
        <bgColor rgb="FFF3F3F3"/>
      </patternFill>
    </fill>
    <fill>
      <patternFill patternType="solid">
        <fgColor theme="0" tint="-0.34998626667073579"/>
        <bgColor rgb="FFCCCCCC"/>
      </patternFill>
    </fill>
    <fill>
      <patternFill patternType="solid">
        <fgColor theme="0" tint="-0.34998626667073579"/>
        <bgColor rgb="FFEFEFEF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CCCCCC"/>
      </patternFill>
    </fill>
    <fill>
      <patternFill patternType="solid">
        <fgColor rgb="FFFFC5CE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13" fillId="23" borderId="0" applyNumberFormat="0" applyBorder="0" applyAlignment="0" applyProtection="0"/>
  </cellStyleXfs>
  <cellXfs count="92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0" fillId="3" borderId="0" xfId="0" applyFill="1"/>
    <xf numFmtId="1" fontId="6" fillId="4" borderId="0" xfId="1" applyNumberFormat="1" applyFont="1" applyFill="1" applyAlignment="1">
      <alignment horizontal="center" vertical="center" wrapText="1"/>
    </xf>
    <xf numFmtId="1" fontId="6" fillId="5" borderId="0" xfId="1" applyNumberFormat="1" applyFont="1" applyFill="1" applyAlignment="1">
      <alignment horizontal="center" vertical="center" wrapText="1"/>
    </xf>
    <xf numFmtId="1" fontId="6" fillId="6" borderId="0" xfId="1" applyNumberFormat="1" applyFont="1" applyFill="1" applyAlignment="1">
      <alignment horizontal="center" vertical="center"/>
    </xf>
    <xf numFmtId="0" fontId="7" fillId="7" borderId="0" xfId="0" applyFont="1" applyFill="1"/>
    <xf numFmtId="0" fontId="0" fillId="7" borderId="0" xfId="0" applyFill="1"/>
    <xf numFmtId="0" fontId="0" fillId="4" borderId="0" xfId="0" applyFill="1"/>
    <xf numFmtId="0" fontId="4" fillId="0" borderId="0" xfId="0" applyFont="1" applyAlignment="1">
      <alignment horizontal="center"/>
    </xf>
    <xf numFmtId="0" fontId="4" fillId="8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7" fontId="9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left"/>
    </xf>
    <xf numFmtId="14" fontId="12" fillId="2" borderId="0" xfId="0" applyNumberFormat="1" applyFont="1" applyFill="1" applyAlignment="1">
      <alignment horizontal="left"/>
    </xf>
    <xf numFmtId="0" fontId="0" fillId="8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2" fillId="17" borderId="0" xfId="0" applyFont="1" applyFill="1"/>
    <xf numFmtId="14" fontId="2" fillId="17" borderId="0" xfId="0" applyNumberFormat="1" applyFont="1" applyFill="1"/>
    <xf numFmtId="14" fontId="0" fillId="17" borderId="0" xfId="0" applyNumberFormat="1" applyFill="1"/>
    <xf numFmtId="14" fontId="9" fillId="17" borderId="0" xfId="0" applyNumberFormat="1" applyFont="1" applyFill="1" applyAlignment="1">
      <alignment horizontal="center" vertical="center"/>
    </xf>
    <xf numFmtId="0" fontId="9" fillId="17" borderId="0" xfId="0" applyFont="1" applyFill="1" applyAlignment="1">
      <alignment horizontal="center" vertical="center"/>
    </xf>
    <xf numFmtId="17" fontId="9" fillId="17" borderId="0" xfId="0" applyNumberFormat="1" applyFont="1" applyFill="1" applyAlignment="1">
      <alignment horizontal="center" vertical="center"/>
    </xf>
    <xf numFmtId="0" fontId="0" fillId="18" borderId="0" xfId="0" applyFill="1"/>
    <xf numFmtId="0" fontId="0" fillId="19" borderId="0" xfId="0" applyFill="1"/>
    <xf numFmtId="0" fontId="2" fillId="19" borderId="0" xfId="0" applyFont="1" applyFill="1"/>
    <xf numFmtId="14" fontId="12" fillId="19" borderId="0" xfId="0" applyNumberFormat="1" applyFont="1" applyFill="1" applyAlignment="1">
      <alignment horizontal="left"/>
    </xf>
    <xf numFmtId="14" fontId="2" fillId="19" borderId="0" xfId="0" applyNumberFormat="1" applyFont="1" applyFill="1"/>
    <xf numFmtId="14" fontId="0" fillId="19" borderId="0" xfId="0" applyNumberFormat="1" applyFill="1"/>
    <xf numFmtId="14" fontId="9" fillId="19" borderId="0" xfId="0" applyNumberFormat="1" applyFont="1" applyFill="1" applyAlignment="1">
      <alignment horizontal="center" vertical="center"/>
    </xf>
    <xf numFmtId="0" fontId="9" fillId="19" borderId="0" xfId="0" applyFont="1" applyFill="1" applyAlignment="1">
      <alignment horizontal="center" vertical="center"/>
    </xf>
    <xf numFmtId="0" fontId="9" fillId="19" borderId="0" xfId="0" quotePrefix="1" applyFont="1" applyFill="1" applyAlignment="1">
      <alignment horizontal="center" vertical="center"/>
    </xf>
    <xf numFmtId="14" fontId="10" fillId="19" borderId="0" xfId="0" applyNumberFormat="1" applyFont="1" applyFill="1" applyAlignment="1">
      <alignment horizontal="center" vertical="center"/>
    </xf>
    <xf numFmtId="0" fontId="2" fillId="19" borderId="0" xfId="0" applyFont="1" applyFill="1" applyAlignment="1">
      <alignment wrapText="1"/>
    </xf>
    <xf numFmtId="22" fontId="9" fillId="19" borderId="0" xfId="0" applyNumberFormat="1" applyFont="1" applyFill="1" applyAlignment="1">
      <alignment horizontal="center" vertical="center"/>
    </xf>
    <xf numFmtId="0" fontId="1" fillId="19" borderId="0" xfId="0" applyFont="1" applyFill="1"/>
    <xf numFmtId="164" fontId="0" fillId="19" borderId="0" xfId="0" applyNumberFormat="1" applyFill="1"/>
    <xf numFmtId="16" fontId="9" fillId="19" borderId="0" xfId="0" applyNumberFormat="1" applyFont="1" applyFill="1" applyAlignment="1">
      <alignment horizontal="center" vertical="center"/>
    </xf>
    <xf numFmtId="17" fontId="0" fillId="19" borderId="0" xfId="0" applyNumberFormat="1" applyFill="1"/>
    <xf numFmtId="0" fontId="4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2" fontId="0" fillId="0" borderId="0" xfId="0" applyNumberFormat="1"/>
    <xf numFmtId="1" fontId="4" fillId="0" borderId="0" xfId="0" applyNumberFormat="1" applyFont="1" applyAlignment="1">
      <alignment horizontal="center"/>
    </xf>
    <xf numFmtId="1" fontId="2" fillId="0" borderId="0" xfId="0" applyNumberFormat="1" applyFont="1"/>
    <xf numFmtId="1" fontId="2" fillId="19" borderId="0" xfId="0" applyNumberFormat="1" applyFont="1" applyFill="1"/>
    <xf numFmtId="1" fontId="0" fillId="0" borderId="0" xfId="0" applyNumberFormat="1"/>
    <xf numFmtId="1" fontId="0" fillId="3" borderId="0" xfId="0" applyNumberFormat="1" applyFill="1"/>
    <xf numFmtId="0" fontId="8" fillId="10" borderId="2" xfId="0" applyFont="1" applyFill="1" applyBorder="1" applyAlignment="1">
      <alignment horizontal="center" vertical="center"/>
    </xf>
    <xf numFmtId="0" fontId="8" fillId="20" borderId="3" xfId="0" applyFont="1" applyFill="1" applyBorder="1" applyAlignment="1">
      <alignment horizontal="center" vertical="center"/>
    </xf>
    <xf numFmtId="0" fontId="8" fillId="20" borderId="4" xfId="0" applyFont="1" applyFill="1" applyBorder="1" applyAlignment="1">
      <alignment horizontal="center" vertical="center"/>
    </xf>
    <xf numFmtId="1" fontId="4" fillId="8" borderId="0" xfId="0" applyNumberFormat="1" applyFont="1" applyFill="1" applyAlignment="1">
      <alignment horizontal="center"/>
    </xf>
    <xf numFmtId="2" fontId="0" fillId="8" borderId="0" xfId="0" applyNumberFormat="1" applyFill="1"/>
    <xf numFmtId="2" fontId="0" fillId="15" borderId="0" xfId="0" applyNumberFormat="1" applyFill="1"/>
    <xf numFmtId="1" fontId="6" fillId="21" borderId="5" xfId="0" applyNumberFormat="1" applyFont="1" applyFill="1" applyBorder="1" applyAlignment="1">
      <alignment horizontal="center" vertical="center" wrapText="1"/>
    </xf>
    <xf numFmtId="1" fontId="6" fillId="21" borderId="6" xfId="0" applyNumberFormat="1" applyFont="1" applyFill="1" applyBorder="1" applyAlignment="1">
      <alignment horizontal="center" vertical="center" wrapText="1"/>
    </xf>
    <xf numFmtId="1" fontId="6" fillId="6" borderId="5" xfId="0" applyNumberFormat="1" applyFont="1" applyFill="1" applyBorder="1" applyAlignment="1">
      <alignment horizontal="center" vertical="center" wrapText="1"/>
    </xf>
    <xf numFmtId="1" fontId="6" fillId="6" borderId="6" xfId="0" applyNumberFormat="1" applyFont="1" applyFill="1" applyBorder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/>
    </xf>
    <xf numFmtId="1" fontId="0" fillId="17" borderId="0" xfId="0" applyNumberFormat="1" applyFill="1"/>
    <xf numFmtId="1" fontId="0" fillId="19" borderId="0" xfId="0" applyNumberFormat="1" applyFill="1"/>
    <xf numFmtId="1" fontId="6" fillId="6" borderId="0" xfId="0" applyNumberFormat="1" applyFont="1" applyFill="1" applyAlignment="1">
      <alignment horizontal="center" vertical="center" wrapText="1"/>
    </xf>
    <xf numFmtId="1" fontId="6" fillId="2" borderId="0" xfId="0" applyNumberFormat="1" applyFont="1" applyFill="1" applyAlignment="1">
      <alignment horizontal="center" vertical="center" wrapText="1"/>
    </xf>
    <xf numFmtId="0" fontId="4" fillId="0" borderId="0" xfId="0" applyFont="1"/>
    <xf numFmtId="14" fontId="4" fillId="0" borderId="0" xfId="0" applyNumberFormat="1" applyFont="1"/>
    <xf numFmtId="0" fontId="4" fillId="22" borderId="0" xfId="0" applyFont="1" applyFill="1"/>
    <xf numFmtId="1" fontId="4" fillId="0" borderId="0" xfId="0" applyNumberFormat="1" applyFont="1"/>
    <xf numFmtId="2" fontId="4" fillId="0" borderId="0" xfId="0" applyNumberFormat="1" applyFont="1"/>
    <xf numFmtId="14" fontId="11" fillId="0" borderId="0" xfId="0" applyNumberFormat="1" applyFont="1" applyAlignment="1">
      <alignment horizontal="center" vertical="center"/>
    </xf>
    <xf numFmtId="0" fontId="11" fillId="22" borderId="0" xfId="0" applyFont="1" applyFill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13" fillId="23" borderId="0" xfId="2"/>
  </cellXfs>
  <cellStyles count="3">
    <cellStyle name="Neutre" xfId="2" builtinId="28"/>
    <cellStyle name="Normal" xfId="0" builtinId="0"/>
    <cellStyle name="Normal 3" xfId="1"/>
  </cellStyles>
  <dxfs count="16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U97"/>
  <sheetViews>
    <sheetView tabSelected="1" zoomScale="82" zoomScaleNormal="25" workbookViewId="0">
      <pane xSplit="2" ySplit="1" topLeftCell="DA2" activePane="bottomRight" state="frozen"/>
      <selection pane="topRight" activeCell="H1" sqref="H1"/>
      <selection pane="bottomLeft" activeCell="A2" sqref="A2"/>
      <selection pane="bottomRight" activeCell="DG1" sqref="DG1:DG1048576"/>
    </sheetView>
  </sheetViews>
  <sheetFormatPr baseColWidth="10" defaultColWidth="14.5" defaultRowHeight="15.75" x14ac:dyDescent="0.25"/>
  <cols>
    <col min="6" max="7" width="14.5" style="56"/>
    <col min="8" max="10" width="19.875" style="59" customWidth="1"/>
    <col min="11" max="11" width="39.125" customWidth="1"/>
    <col min="12" max="12" width="20" style="66" customWidth="1"/>
    <col min="15" max="15" width="15.875" customWidth="1"/>
    <col min="16" max="16" width="15.875" style="66" customWidth="1"/>
    <col min="18" max="18" width="18.375" customWidth="1"/>
    <col min="19" max="19" width="20.875" customWidth="1"/>
    <col min="21" max="21" width="15.875" customWidth="1"/>
    <col min="23" max="23" width="13" customWidth="1"/>
    <col min="35" max="36" width="14.5" customWidth="1"/>
    <col min="38" max="38" width="26.125" customWidth="1"/>
    <col min="46" max="46" width="22.875" customWidth="1"/>
    <col min="47" max="47" width="12.625" customWidth="1"/>
    <col min="51" max="51" width="18.5" customWidth="1"/>
    <col min="52" max="52" width="22.125" customWidth="1"/>
    <col min="55" max="55" width="12.875" customWidth="1"/>
    <col min="58" max="58" width="11.125" customWidth="1"/>
    <col min="60" max="60" width="18" customWidth="1"/>
    <col min="61" max="64" width="15.5" customWidth="1"/>
    <col min="65" max="65" width="15.5" style="66" customWidth="1"/>
    <col min="66" max="78" width="15.5" customWidth="1"/>
    <col min="82" max="82" width="14.5" customWidth="1"/>
    <col min="83" max="83" width="17.125" customWidth="1"/>
    <col min="92" max="93" width="18.625" customWidth="1"/>
    <col min="97" max="97" width="22.125" customWidth="1"/>
    <col min="98" max="98" width="27.5" customWidth="1"/>
    <col min="99" max="101" width="14.5" customWidth="1"/>
    <col min="102" max="102" width="16.375" customWidth="1"/>
    <col min="103" max="104" width="37" customWidth="1"/>
    <col min="105" max="105" width="17" customWidth="1"/>
    <col min="106" max="106" width="17" style="62" customWidth="1"/>
    <col min="107" max="107" width="21.625" customWidth="1"/>
    <col min="108" max="108" width="19.375" customWidth="1"/>
    <col min="115" max="115" width="14.5" style="66"/>
    <col min="119" max="119" width="19.875" customWidth="1"/>
    <col min="128" max="130" width="14.5" style="62"/>
    <col min="131" max="131" width="10.125" customWidth="1"/>
    <col min="132" max="132" width="16.375" customWidth="1"/>
    <col min="138" max="144" width="14.5" customWidth="1"/>
    <col min="160" max="161" width="17.875" customWidth="1"/>
    <col min="164" max="164" width="20.125" customWidth="1"/>
    <col min="165" max="165" width="20.125" style="66" customWidth="1"/>
    <col min="166" max="166" width="20.125" customWidth="1"/>
    <col min="167" max="167" width="28.5" customWidth="1"/>
    <col min="172" max="172" width="36.875" customWidth="1"/>
    <col min="173" max="175" width="19.875" customWidth="1"/>
    <col min="180" max="180" width="23" customWidth="1"/>
    <col min="221" max="221" width="25" customWidth="1"/>
    <col min="294" max="294" width="20.625" customWidth="1"/>
    <col min="357" max="357" width="25.5" customWidth="1"/>
    <col min="359" max="359" width="22.875" customWidth="1"/>
  </cols>
  <sheetData>
    <row r="1" spans="1:359" ht="27" x14ac:dyDescent="0.25">
      <c r="A1" s="91" t="s">
        <v>393</v>
      </c>
      <c r="B1" s="5" t="s">
        <v>13</v>
      </c>
      <c r="C1" s="13" t="s">
        <v>15</v>
      </c>
      <c r="D1" s="13" t="s">
        <v>16</v>
      </c>
      <c r="E1" s="13" t="s">
        <v>237</v>
      </c>
      <c r="F1" s="60" t="s">
        <v>246</v>
      </c>
      <c r="G1" s="60" t="s">
        <v>382</v>
      </c>
      <c r="H1" s="54" t="s">
        <v>294</v>
      </c>
      <c r="I1" s="54" t="s">
        <v>389</v>
      </c>
      <c r="J1" s="54" t="s">
        <v>384</v>
      </c>
      <c r="K1" s="13" t="s">
        <v>248</v>
      </c>
      <c r="L1" s="63" t="s">
        <v>247</v>
      </c>
      <c r="M1" s="13" t="s">
        <v>249</v>
      </c>
      <c r="N1" s="13" t="s">
        <v>18</v>
      </c>
      <c r="O1" s="14" t="s">
        <v>250</v>
      </c>
      <c r="P1" s="71" t="s">
        <v>295</v>
      </c>
      <c r="Q1" t="s">
        <v>29</v>
      </c>
      <c r="R1" t="s">
        <v>34</v>
      </c>
      <c r="S1" t="s">
        <v>30</v>
      </c>
      <c r="T1" t="s">
        <v>31</v>
      </c>
      <c r="U1" t="s">
        <v>32</v>
      </c>
      <c r="V1" t="s">
        <v>33</v>
      </c>
      <c r="W1" t="s">
        <v>35</v>
      </c>
      <c r="X1" t="s">
        <v>36</v>
      </c>
      <c r="Y1" t="s">
        <v>8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9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251</v>
      </c>
      <c r="AV1" t="s">
        <v>57</v>
      </c>
      <c r="AW1" t="s">
        <v>58</v>
      </c>
      <c r="AX1" t="s">
        <v>59</v>
      </c>
      <c r="AY1" t="s">
        <v>112</v>
      </c>
      <c r="AZ1" t="s">
        <v>113</v>
      </c>
      <c r="BA1" t="s">
        <v>60</v>
      </c>
      <c r="BB1" s="10" t="s">
        <v>102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s="74" t="s">
        <v>360</v>
      </c>
      <c r="BK1" s="74" t="s">
        <v>361</v>
      </c>
      <c r="BL1" s="74" t="s">
        <v>362</v>
      </c>
      <c r="BM1" s="75" t="s">
        <v>363</v>
      </c>
      <c r="BN1" s="75" t="s">
        <v>364</v>
      </c>
      <c r="BO1" s="74" t="s">
        <v>365</v>
      </c>
      <c r="BP1" s="74" t="s">
        <v>366</v>
      </c>
      <c r="BQ1" s="74" t="s">
        <v>374</v>
      </c>
      <c r="BR1" s="76" t="s">
        <v>367</v>
      </c>
      <c r="BS1" s="76" t="s">
        <v>368</v>
      </c>
      <c r="BT1" s="76" t="s">
        <v>369</v>
      </c>
      <c r="BU1" s="77" t="s">
        <v>370</v>
      </c>
      <c r="BV1" s="77" t="s">
        <v>371</v>
      </c>
      <c r="BW1" s="76" t="s">
        <v>372</v>
      </c>
      <c r="BX1" s="76" t="s">
        <v>373</v>
      </c>
      <c r="BY1" s="81" t="s">
        <v>375</v>
      </c>
      <c r="BZ1" s="82" t="s">
        <v>376</v>
      </c>
      <c r="CA1" t="s">
        <v>68</v>
      </c>
      <c r="CB1" s="7" t="s">
        <v>94</v>
      </c>
      <c r="CC1" s="7" t="s">
        <v>95</v>
      </c>
      <c r="CD1" t="s">
        <v>69</v>
      </c>
      <c r="CE1" t="s">
        <v>252</v>
      </c>
      <c r="CF1" t="s">
        <v>253</v>
      </c>
      <c r="CG1" t="s">
        <v>254</v>
      </c>
      <c r="CH1" t="s">
        <v>255</v>
      </c>
      <c r="CI1" t="s">
        <v>257</v>
      </c>
      <c r="CJ1" t="s">
        <v>256</v>
      </c>
      <c r="CK1" t="s">
        <v>258</v>
      </c>
      <c r="CL1" t="s">
        <v>259</v>
      </c>
      <c r="CM1" t="s">
        <v>260</v>
      </c>
      <c r="CN1" t="s">
        <v>261</v>
      </c>
      <c r="CO1" t="s">
        <v>392</v>
      </c>
      <c r="CP1" t="s">
        <v>262</v>
      </c>
      <c r="CQ1" t="s">
        <v>263</v>
      </c>
      <c r="CR1" t="s">
        <v>264</v>
      </c>
      <c r="CS1" t="s">
        <v>70</v>
      </c>
      <c r="CT1" t="s">
        <v>71</v>
      </c>
      <c r="CU1" s="8" t="s">
        <v>97</v>
      </c>
      <c r="CV1" s="8" t="s">
        <v>96</v>
      </c>
      <c r="CW1" s="8" t="s">
        <v>98</v>
      </c>
      <c r="CX1" t="s">
        <v>265</v>
      </c>
      <c r="CY1" t="s">
        <v>267</v>
      </c>
      <c r="CZ1" s="8" t="s">
        <v>266</v>
      </c>
      <c r="DA1" t="s">
        <v>114</v>
      </c>
      <c r="DB1" s="62" t="s">
        <v>268</v>
      </c>
      <c r="DC1" t="s">
        <v>0</v>
      </c>
      <c r="DD1" t="s">
        <v>269</v>
      </c>
      <c r="DE1" s="6" t="s">
        <v>115</v>
      </c>
      <c r="DF1" s="6" t="s">
        <v>72</v>
      </c>
      <c r="DG1" t="s">
        <v>73</v>
      </c>
      <c r="DH1" t="s">
        <v>271</v>
      </c>
      <c r="DI1" t="s">
        <v>74</v>
      </c>
      <c r="DJ1" t="s">
        <v>272</v>
      </c>
      <c r="DK1" s="66" t="s">
        <v>273</v>
      </c>
      <c r="DL1" t="s">
        <v>274</v>
      </c>
      <c r="DM1" t="s">
        <v>75</v>
      </c>
      <c r="DN1" t="s">
        <v>275</v>
      </c>
      <c r="DO1" t="s">
        <v>116</v>
      </c>
      <c r="DP1" t="s">
        <v>276</v>
      </c>
      <c r="DQ1" t="s">
        <v>277</v>
      </c>
      <c r="DR1" t="s">
        <v>278</v>
      </c>
      <c r="DS1" t="s">
        <v>279</v>
      </c>
      <c r="DT1" t="s">
        <v>76</v>
      </c>
      <c r="DU1" t="s">
        <v>77</v>
      </c>
      <c r="DV1" t="s">
        <v>78</v>
      </c>
      <c r="DW1" s="30" t="s">
        <v>58</v>
      </c>
      <c r="DX1" s="72" t="s">
        <v>280</v>
      </c>
      <c r="DY1" s="73" t="s">
        <v>241</v>
      </c>
      <c r="DZ1" s="73" t="s">
        <v>391</v>
      </c>
      <c r="EA1" s="6" t="s">
        <v>244</v>
      </c>
      <c r="EB1" s="6" t="s">
        <v>377</v>
      </c>
      <c r="EC1" s="28" t="s">
        <v>240</v>
      </c>
      <c r="ED1" s="11" t="s">
        <v>239</v>
      </c>
      <c r="EE1" s="11" t="s">
        <v>390</v>
      </c>
      <c r="EF1" s="6" t="s">
        <v>281</v>
      </c>
      <c r="EG1" s="6" t="s">
        <v>378</v>
      </c>
      <c r="EH1" s="28" t="s">
        <v>79</v>
      </c>
      <c r="EI1" s="28" t="s">
        <v>296</v>
      </c>
      <c r="EJ1" s="29" t="s">
        <v>103</v>
      </c>
      <c r="EK1" s="29" t="s">
        <v>388</v>
      </c>
      <c r="EL1" s="29" t="s">
        <v>359</v>
      </c>
      <c r="EM1" s="12" t="s">
        <v>117</v>
      </c>
      <c r="EN1" s="12" t="s">
        <v>379</v>
      </c>
      <c r="EO1" s="28" t="s">
        <v>80</v>
      </c>
      <c r="EP1" s="11" t="s">
        <v>242</v>
      </c>
      <c r="EQ1" s="6" t="s">
        <v>243</v>
      </c>
      <c r="ER1" t="s">
        <v>81</v>
      </c>
      <c r="ES1" t="s">
        <v>82</v>
      </c>
      <c r="ET1" t="s">
        <v>83</v>
      </c>
      <c r="EU1" t="s">
        <v>84</v>
      </c>
      <c r="EV1" t="s">
        <v>85</v>
      </c>
      <c r="EW1" t="s">
        <v>86</v>
      </c>
      <c r="EX1" t="s">
        <v>87</v>
      </c>
      <c r="EY1" t="s">
        <v>88</v>
      </c>
      <c r="EZ1" t="s">
        <v>89</v>
      </c>
      <c r="FA1" t="s">
        <v>90</v>
      </c>
      <c r="FB1" s="12" t="s">
        <v>104</v>
      </c>
      <c r="FC1" s="6" t="s">
        <v>91</v>
      </c>
      <c r="FD1" s="6" t="s">
        <v>282</v>
      </c>
      <c r="FE1" s="6" t="s">
        <v>284</v>
      </c>
      <c r="FF1" s="6" t="s">
        <v>92</v>
      </c>
      <c r="FG1" s="6" t="s">
        <v>283</v>
      </c>
      <c r="FH1" s="6" t="s">
        <v>93</v>
      </c>
      <c r="FI1" s="67" t="s">
        <v>285</v>
      </c>
      <c r="FJ1" s="6"/>
      <c r="FK1" s="9" t="s">
        <v>99</v>
      </c>
      <c r="FL1" s="9" t="s">
        <v>17</v>
      </c>
      <c r="FM1" s="9" t="s">
        <v>100</v>
      </c>
      <c r="FN1" s="9" t="s">
        <v>101</v>
      </c>
      <c r="FO1" s="9" t="s">
        <v>105</v>
      </c>
      <c r="FP1" s="9" t="s">
        <v>287</v>
      </c>
      <c r="FQ1" s="16" t="s">
        <v>118</v>
      </c>
      <c r="FR1" s="16" t="s">
        <v>119</v>
      </c>
      <c r="FS1" s="16" t="s">
        <v>120</v>
      </c>
      <c r="FT1" s="16" t="s">
        <v>121</v>
      </c>
      <c r="FU1" s="16" t="s">
        <v>122</v>
      </c>
      <c r="FV1" s="16" t="s">
        <v>123</v>
      </c>
      <c r="FW1" s="17" t="s">
        <v>124</v>
      </c>
      <c r="FX1" s="17" t="s">
        <v>125</v>
      </c>
      <c r="FY1" s="17" t="s">
        <v>126</v>
      </c>
      <c r="FZ1" s="17" t="s">
        <v>127</v>
      </c>
      <c r="GA1" s="17" t="s">
        <v>128</v>
      </c>
      <c r="GB1" s="17" t="s">
        <v>129</v>
      </c>
      <c r="GC1" s="17" t="s">
        <v>130</v>
      </c>
      <c r="GD1" s="17" t="s">
        <v>131</v>
      </c>
      <c r="GE1" s="17" t="s">
        <v>132</v>
      </c>
      <c r="GF1" s="17" t="s">
        <v>133</v>
      </c>
      <c r="GG1" s="17" t="s">
        <v>134</v>
      </c>
      <c r="GH1" s="17" t="s">
        <v>135</v>
      </c>
      <c r="GI1" s="17" t="s">
        <v>136</v>
      </c>
      <c r="GJ1" s="17" t="s">
        <v>137</v>
      </c>
      <c r="GK1" s="17" t="s">
        <v>138</v>
      </c>
      <c r="GL1" s="17" t="s">
        <v>139</v>
      </c>
      <c r="GM1" s="17" t="s">
        <v>140</v>
      </c>
      <c r="GN1" s="17" t="s">
        <v>141</v>
      </c>
      <c r="GO1" s="17" t="s">
        <v>142</v>
      </c>
      <c r="GP1" s="17" t="s">
        <v>143</v>
      </c>
      <c r="GQ1" s="17" t="s">
        <v>144</v>
      </c>
      <c r="GR1" s="17" t="s">
        <v>145</v>
      </c>
      <c r="GS1" s="17" t="s">
        <v>146</v>
      </c>
      <c r="GT1" s="17" t="s">
        <v>147</v>
      </c>
      <c r="GU1" s="17" t="s">
        <v>148</v>
      </c>
      <c r="GV1" s="17" t="s">
        <v>149</v>
      </c>
      <c r="GW1" s="17" t="s">
        <v>150</v>
      </c>
      <c r="GX1" s="17" t="s">
        <v>151</v>
      </c>
      <c r="GY1" s="17" t="s">
        <v>292</v>
      </c>
      <c r="GZ1" s="68" t="s">
        <v>293</v>
      </c>
      <c r="HA1" s="17" t="s">
        <v>152</v>
      </c>
      <c r="HB1" s="17" t="s">
        <v>153</v>
      </c>
      <c r="HC1" s="17" t="s">
        <v>154</v>
      </c>
      <c r="HD1" s="17" t="s">
        <v>155</v>
      </c>
      <c r="HE1" s="17" t="s">
        <v>289</v>
      </c>
      <c r="HF1" s="68" t="s">
        <v>290</v>
      </c>
      <c r="HG1" s="17" t="s">
        <v>156</v>
      </c>
      <c r="HH1" s="18" t="s">
        <v>157</v>
      </c>
      <c r="HI1" s="18" t="s">
        <v>158</v>
      </c>
      <c r="HJ1" s="18" t="s">
        <v>159</v>
      </c>
      <c r="HK1" s="18" t="s">
        <v>160</v>
      </c>
      <c r="HL1" s="18" t="s">
        <v>161</v>
      </c>
      <c r="HM1" s="18" t="s">
        <v>162</v>
      </c>
      <c r="HN1" s="18" t="s">
        <v>163</v>
      </c>
      <c r="HO1" s="18" t="s">
        <v>164</v>
      </c>
      <c r="HP1" s="18" t="s">
        <v>165</v>
      </c>
      <c r="HQ1" s="18" t="s">
        <v>166</v>
      </c>
      <c r="HR1" s="18" t="s">
        <v>167</v>
      </c>
      <c r="HS1" s="18" t="s">
        <v>168</v>
      </c>
      <c r="HT1" s="18" t="s">
        <v>169</v>
      </c>
      <c r="HU1" s="18" t="s">
        <v>170</v>
      </c>
      <c r="HV1" s="18" t="s">
        <v>171</v>
      </c>
      <c r="HW1" s="18" t="s">
        <v>172</v>
      </c>
      <c r="HX1" s="18" t="s">
        <v>173</v>
      </c>
      <c r="HY1" s="19" t="s">
        <v>174</v>
      </c>
      <c r="HZ1" s="19" t="s">
        <v>175</v>
      </c>
      <c r="IA1" s="19" t="s">
        <v>176</v>
      </c>
      <c r="IB1" s="19" t="s">
        <v>177</v>
      </c>
      <c r="IC1" s="19" t="s">
        <v>178</v>
      </c>
      <c r="ID1" s="19" t="s">
        <v>179</v>
      </c>
      <c r="IE1" s="20" t="s">
        <v>180</v>
      </c>
      <c r="IF1" s="20" t="s">
        <v>181</v>
      </c>
      <c r="IG1" s="20" t="s">
        <v>182</v>
      </c>
      <c r="IH1" s="20" t="s">
        <v>183</v>
      </c>
      <c r="II1" s="20" t="s">
        <v>184</v>
      </c>
      <c r="IJ1" s="20" t="s">
        <v>185</v>
      </c>
      <c r="IK1" s="20" t="s">
        <v>186</v>
      </c>
      <c r="IL1" s="20" t="s">
        <v>187</v>
      </c>
      <c r="IM1" s="20" t="s">
        <v>188</v>
      </c>
      <c r="IN1" s="20" t="s">
        <v>189</v>
      </c>
      <c r="IO1" s="20" t="s">
        <v>190</v>
      </c>
      <c r="IP1" s="20" t="s">
        <v>191</v>
      </c>
      <c r="IQ1" s="20" t="s">
        <v>192</v>
      </c>
      <c r="IR1" s="20" t="s">
        <v>193</v>
      </c>
      <c r="IS1" s="20" t="s">
        <v>194</v>
      </c>
      <c r="IT1" s="20" t="s">
        <v>195</v>
      </c>
      <c r="IU1" s="20" t="s">
        <v>196</v>
      </c>
      <c r="IV1" s="20" t="s">
        <v>197</v>
      </c>
      <c r="IW1" s="20" t="s">
        <v>198</v>
      </c>
      <c r="IX1" s="20" t="s">
        <v>199</v>
      </c>
      <c r="IY1" s="20" t="s">
        <v>200</v>
      </c>
      <c r="IZ1" s="20" t="s">
        <v>201</v>
      </c>
      <c r="JA1" s="20" t="s">
        <v>202</v>
      </c>
      <c r="JB1" s="20" t="s">
        <v>203</v>
      </c>
      <c r="JC1" s="20" t="s">
        <v>204</v>
      </c>
      <c r="JD1" s="20" t="s">
        <v>205</v>
      </c>
      <c r="JE1" s="20" t="s">
        <v>206</v>
      </c>
      <c r="JF1" s="20" t="s">
        <v>207</v>
      </c>
      <c r="JG1" s="69" t="s">
        <v>292</v>
      </c>
      <c r="JH1" s="70" t="s">
        <v>293</v>
      </c>
      <c r="JI1" s="20" t="s">
        <v>208</v>
      </c>
      <c r="JJ1" s="20" t="s">
        <v>209</v>
      </c>
      <c r="JK1" s="20" t="s">
        <v>210</v>
      </c>
      <c r="JL1" s="20" t="s">
        <v>211</v>
      </c>
      <c r="JM1" s="69" t="s">
        <v>289</v>
      </c>
      <c r="JN1" s="70" t="s">
        <v>290</v>
      </c>
      <c r="JO1" s="20" t="s">
        <v>212</v>
      </c>
      <c r="JP1" s="21" t="s">
        <v>213</v>
      </c>
      <c r="JQ1" s="21" t="s">
        <v>214</v>
      </c>
      <c r="JR1" s="21" t="s">
        <v>215</v>
      </c>
      <c r="JS1" s="21" t="s">
        <v>216</v>
      </c>
      <c r="JT1" s="21" t="s">
        <v>217</v>
      </c>
      <c r="JU1" s="21" t="s">
        <v>218</v>
      </c>
      <c r="JV1" s="21" t="s">
        <v>219</v>
      </c>
      <c r="JW1" s="21" t="s">
        <v>220</v>
      </c>
      <c r="JX1" s="21" t="s">
        <v>221</v>
      </c>
      <c r="JY1" s="21" t="s">
        <v>222</v>
      </c>
      <c r="JZ1" s="21" t="s">
        <v>223</v>
      </c>
      <c r="KA1" s="21" t="s">
        <v>224</v>
      </c>
      <c r="KB1" s="21" t="s">
        <v>225</v>
      </c>
      <c r="KC1" s="21" t="s">
        <v>226</v>
      </c>
      <c r="KD1" s="21" t="s">
        <v>227</v>
      </c>
      <c r="KE1" s="21" t="s">
        <v>228</v>
      </c>
      <c r="KF1" s="21" t="s">
        <v>229</v>
      </c>
      <c r="KG1" s="16" t="s">
        <v>354</v>
      </c>
      <c r="KH1" s="16" t="s">
        <v>355</v>
      </c>
      <c r="KI1" s="16" t="s">
        <v>297</v>
      </c>
      <c r="KJ1" s="16" t="s">
        <v>298</v>
      </c>
      <c r="KK1" s="16" t="s">
        <v>299</v>
      </c>
      <c r="KL1" s="16" t="s">
        <v>300</v>
      </c>
      <c r="KM1" s="17" t="s">
        <v>301</v>
      </c>
      <c r="KN1" s="17" t="s">
        <v>302</v>
      </c>
      <c r="KO1" s="17" t="s">
        <v>303</v>
      </c>
      <c r="KP1" s="17" t="s">
        <v>304</v>
      </c>
      <c r="KQ1" s="17" t="s">
        <v>305</v>
      </c>
      <c r="KR1" s="17" t="s">
        <v>306</v>
      </c>
      <c r="KS1" s="17" t="s">
        <v>307</v>
      </c>
      <c r="KT1" s="17" t="s">
        <v>308</v>
      </c>
      <c r="KU1" s="17" t="s">
        <v>309</v>
      </c>
      <c r="KV1" s="17" t="s">
        <v>310</v>
      </c>
      <c r="KW1" s="17" t="s">
        <v>311</v>
      </c>
      <c r="KX1" s="17" t="s">
        <v>312</v>
      </c>
      <c r="KY1" s="17" t="s">
        <v>313</v>
      </c>
      <c r="KZ1" s="17" t="s">
        <v>314</v>
      </c>
      <c r="LA1" s="17" t="s">
        <v>315</v>
      </c>
      <c r="LB1" s="17" t="s">
        <v>316</v>
      </c>
      <c r="LC1" s="17" t="s">
        <v>317</v>
      </c>
      <c r="LD1" s="17" t="s">
        <v>318</v>
      </c>
      <c r="LE1" s="17" t="s">
        <v>319</v>
      </c>
      <c r="LF1" s="17" t="s">
        <v>320</v>
      </c>
      <c r="LG1" s="17" t="s">
        <v>321</v>
      </c>
      <c r="LH1" s="17" t="s">
        <v>322</v>
      </c>
      <c r="LI1" s="17" t="s">
        <v>323</v>
      </c>
      <c r="LJ1" s="17" t="s">
        <v>324</v>
      </c>
      <c r="LK1" s="17" t="s">
        <v>325</v>
      </c>
      <c r="LL1" s="17" t="s">
        <v>326</v>
      </c>
      <c r="LM1" s="17" t="s">
        <v>327</v>
      </c>
      <c r="LN1" s="17" t="s">
        <v>356</v>
      </c>
      <c r="LO1" s="17" t="s">
        <v>328</v>
      </c>
      <c r="LP1" s="68" t="s">
        <v>329</v>
      </c>
      <c r="LQ1" s="17" t="s">
        <v>330</v>
      </c>
      <c r="LR1" s="17" t="s">
        <v>331</v>
      </c>
      <c r="LS1" s="17" t="s">
        <v>332</v>
      </c>
      <c r="LT1" s="17" t="s">
        <v>333</v>
      </c>
      <c r="LU1" s="17" t="s">
        <v>334</v>
      </c>
      <c r="LV1" s="68" t="s">
        <v>335</v>
      </c>
      <c r="LW1" s="17" t="s">
        <v>336</v>
      </c>
      <c r="LX1" s="18" t="s">
        <v>337</v>
      </c>
      <c r="LY1" s="18" t="s">
        <v>338</v>
      </c>
      <c r="LZ1" s="18" t="s">
        <v>339</v>
      </c>
      <c r="MA1" s="18" t="s">
        <v>340</v>
      </c>
      <c r="MB1" s="18" t="s">
        <v>341</v>
      </c>
      <c r="MC1" s="18" t="s">
        <v>342</v>
      </c>
      <c r="MD1" s="18" t="s">
        <v>343</v>
      </c>
      <c r="ME1" s="18" t="s">
        <v>344</v>
      </c>
      <c r="MF1" s="18" t="s">
        <v>345</v>
      </c>
      <c r="MG1" s="18" t="s">
        <v>346</v>
      </c>
      <c r="MH1" s="18" t="s">
        <v>347</v>
      </c>
      <c r="MI1" s="18" t="s">
        <v>348</v>
      </c>
      <c r="MJ1" s="18" t="s">
        <v>349</v>
      </c>
      <c r="MK1" s="18" t="s">
        <v>350</v>
      </c>
      <c r="ML1" s="18" t="s">
        <v>351</v>
      </c>
      <c r="MM1" s="18" t="s">
        <v>352</v>
      </c>
      <c r="MN1" s="18" t="s">
        <v>353</v>
      </c>
      <c r="MO1" s="18" t="s">
        <v>357</v>
      </c>
      <c r="MP1" s="18" t="s">
        <v>358</v>
      </c>
      <c r="MQ1" s="18" t="s">
        <v>380</v>
      </c>
      <c r="MR1" s="18" t="s">
        <v>381</v>
      </c>
      <c r="MS1" s="90" t="s">
        <v>385</v>
      </c>
      <c r="MT1" s="90" t="s">
        <v>386</v>
      </c>
      <c r="MU1" s="90" t="s">
        <v>387</v>
      </c>
    </row>
    <row r="2" spans="1:359" ht="18" x14ac:dyDescent="0.25">
      <c r="A2" t="s">
        <v>394</v>
      </c>
      <c r="B2" s="3">
        <v>68</v>
      </c>
      <c r="C2" s="3">
        <v>0</v>
      </c>
      <c r="D2" s="3">
        <v>0</v>
      </c>
      <c r="E2" s="3"/>
      <c r="F2" s="55">
        <v>116</v>
      </c>
      <c r="G2" s="55"/>
      <c r="H2" s="57">
        <v>0</v>
      </c>
      <c r="I2" s="57">
        <v>0</v>
      </c>
      <c r="J2" s="57"/>
      <c r="L2"/>
      <c r="N2" s="3">
        <v>0</v>
      </c>
      <c r="O2" s="2">
        <v>45008</v>
      </c>
      <c r="P2" s="64">
        <f>O2-AX2</f>
        <v>116</v>
      </c>
      <c r="Q2">
        <v>4</v>
      </c>
      <c r="R2">
        <v>1</v>
      </c>
      <c r="S2">
        <v>1</v>
      </c>
      <c r="T2">
        <v>75</v>
      </c>
      <c r="U2">
        <v>0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81</v>
      </c>
      <c r="AO2">
        <v>180</v>
      </c>
      <c r="AP2">
        <v>25</v>
      </c>
      <c r="AQ2">
        <v>36.5</v>
      </c>
      <c r="AR2">
        <v>129</v>
      </c>
      <c r="AS2">
        <v>86</v>
      </c>
      <c r="AT2">
        <v>2</v>
      </c>
      <c r="AU2">
        <v>0</v>
      </c>
      <c r="AV2">
        <v>51</v>
      </c>
      <c r="AW2" s="1">
        <v>44892</v>
      </c>
      <c r="AX2" s="1">
        <v>44892</v>
      </c>
      <c r="AY2">
        <v>0</v>
      </c>
      <c r="AZ2" s="1">
        <v>44861</v>
      </c>
      <c r="BA2">
        <v>0</v>
      </c>
      <c r="BB2">
        <v>0</v>
      </c>
      <c r="BC2">
        <v>0</v>
      </c>
      <c r="BD2">
        <v>1</v>
      </c>
      <c r="BE2">
        <v>0</v>
      </c>
      <c r="BF2">
        <v>1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 s="66">
        <v>0</v>
      </c>
      <c r="BN2">
        <v>1</v>
      </c>
      <c r="BO2">
        <v>0</v>
      </c>
      <c r="BP2" s="66">
        <f>BJ2+BK2+BL2+BM2+BN2+BO2</f>
        <v>1</v>
      </c>
      <c r="BQ2">
        <v>0</v>
      </c>
      <c r="BR2">
        <v>0</v>
      </c>
      <c r="BS2">
        <v>0</v>
      </c>
      <c r="BT2">
        <v>0</v>
      </c>
      <c r="BU2" s="66">
        <f>BM2</f>
        <v>0</v>
      </c>
      <c r="BV2">
        <v>1</v>
      </c>
      <c r="BW2">
        <v>0</v>
      </c>
      <c r="BX2" s="66">
        <f>BR2+BS2+BT2+BU2+BV2+BW2</f>
        <v>1</v>
      </c>
      <c r="BY2">
        <v>0</v>
      </c>
      <c r="BZ2">
        <f>BY2+BQ2</f>
        <v>0</v>
      </c>
      <c r="CA2">
        <v>0</v>
      </c>
      <c r="CB2">
        <v>0</v>
      </c>
      <c r="CC2">
        <v>4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f>CN2+CM2+CL2+CK2+CJ2+CI2+CH2+CG2+CF2+CE2</f>
        <v>0</v>
      </c>
      <c r="CP2">
        <v>0</v>
      </c>
      <c r="CR2">
        <v>0</v>
      </c>
      <c r="CS2">
        <v>0</v>
      </c>
      <c r="CT2">
        <v>0</v>
      </c>
      <c r="CU2">
        <v>1</v>
      </c>
      <c r="CV2">
        <v>0</v>
      </c>
      <c r="CW2">
        <v>0</v>
      </c>
      <c r="CX2">
        <v>1</v>
      </c>
      <c r="CY2">
        <v>0</v>
      </c>
      <c r="DA2" s="1">
        <v>44892</v>
      </c>
      <c r="DB2" s="66">
        <f>DA2-AZ2</f>
        <v>31</v>
      </c>
      <c r="DC2" t="s">
        <v>1</v>
      </c>
      <c r="DD2">
        <v>0</v>
      </c>
      <c r="DE2" s="1">
        <v>44897</v>
      </c>
      <c r="DF2">
        <v>6</v>
      </c>
      <c r="DG2" s="1">
        <v>44892</v>
      </c>
      <c r="DH2">
        <v>15</v>
      </c>
      <c r="DI2">
        <v>22</v>
      </c>
      <c r="DJ2">
        <v>2.9</v>
      </c>
      <c r="DK2" s="66">
        <v>467</v>
      </c>
      <c r="DL2">
        <v>7</v>
      </c>
      <c r="DM2">
        <v>88</v>
      </c>
      <c r="DN2">
        <v>17107</v>
      </c>
      <c r="DO2">
        <v>2</v>
      </c>
      <c r="DP2">
        <v>467</v>
      </c>
      <c r="DQ2">
        <v>17107</v>
      </c>
      <c r="DR2">
        <v>131</v>
      </c>
      <c r="DS2">
        <v>23</v>
      </c>
      <c r="DU2">
        <v>33</v>
      </c>
      <c r="DV2">
        <v>13</v>
      </c>
      <c r="DW2" s="1">
        <v>44892</v>
      </c>
      <c r="DX2">
        <v>25</v>
      </c>
      <c r="DY2">
        <v>11.3</v>
      </c>
      <c r="DZ2">
        <v>0</v>
      </c>
      <c r="EA2">
        <v>25</v>
      </c>
      <c r="EB2">
        <v>1</v>
      </c>
      <c r="EC2">
        <v>2.27</v>
      </c>
      <c r="ED2">
        <v>1.1100000000000001</v>
      </c>
      <c r="EE2">
        <v>0</v>
      </c>
      <c r="EF2">
        <v>2.27</v>
      </c>
      <c r="EG2">
        <v>1</v>
      </c>
      <c r="EH2">
        <v>154</v>
      </c>
      <c r="EI2" s="62">
        <v>0.68181818181818199</v>
      </c>
      <c r="EJ2">
        <v>105</v>
      </c>
      <c r="EK2">
        <v>0</v>
      </c>
      <c r="EL2">
        <f>EJ2-EH2</f>
        <v>-49</v>
      </c>
      <c r="EM2">
        <v>154</v>
      </c>
      <c r="EN2">
        <v>0</v>
      </c>
      <c r="ER2">
        <v>18</v>
      </c>
      <c r="ES2">
        <v>13</v>
      </c>
      <c r="ET2">
        <v>28</v>
      </c>
      <c r="EU2">
        <v>17</v>
      </c>
      <c r="EV2">
        <v>100</v>
      </c>
      <c r="EW2">
        <v>189</v>
      </c>
      <c r="EX2">
        <v>15</v>
      </c>
      <c r="EZ2">
        <v>435</v>
      </c>
      <c r="FB2">
        <v>1</v>
      </c>
      <c r="FC2">
        <v>0</v>
      </c>
      <c r="FF2">
        <v>1</v>
      </c>
      <c r="FG2">
        <v>0</v>
      </c>
      <c r="FI2"/>
      <c r="FK2">
        <v>0</v>
      </c>
      <c r="FL2">
        <v>0</v>
      </c>
      <c r="FO2">
        <v>0</v>
      </c>
      <c r="FQ2" s="22">
        <v>44892</v>
      </c>
      <c r="FR2" s="22" t="s">
        <v>230</v>
      </c>
      <c r="FS2" s="15">
        <v>0</v>
      </c>
      <c r="FT2" s="15">
        <v>1</v>
      </c>
      <c r="FU2" s="15">
        <v>1</v>
      </c>
      <c r="FV2" s="15">
        <v>0</v>
      </c>
      <c r="FW2" s="15">
        <v>1</v>
      </c>
      <c r="FX2" s="15">
        <v>0</v>
      </c>
      <c r="FY2" s="15">
        <v>0</v>
      </c>
      <c r="FZ2" s="15">
        <v>0</v>
      </c>
      <c r="GA2" s="15">
        <v>0</v>
      </c>
      <c r="GB2" s="15">
        <v>1</v>
      </c>
      <c r="GC2" s="15">
        <v>1</v>
      </c>
      <c r="GD2" s="15">
        <v>1</v>
      </c>
      <c r="GE2" s="15">
        <v>1</v>
      </c>
      <c r="GF2" s="15">
        <v>0</v>
      </c>
      <c r="GG2" s="15">
        <v>0</v>
      </c>
      <c r="GH2" s="15">
        <v>0</v>
      </c>
      <c r="GI2" s="15">
        <v>1</v>
      </c>
      <c r="GJ2" s="15">
        <v>0</v>
      </c>
      <c r="GK2" s="15">
        <v>0</v>
      </c>
      <c r="GL2" s="15">
        <v>0</v>
      </c>
      <c r="GM2" s="15">
        <v>1</v>
      </c>
      <c r="GN2" s="15">
        <v>0</v>
      </c>
      <c r="GO2" s="15">
        <v>1</v>
      </c>
      <c r="GP2" s="15">
        <v>1</v>
      </c>
      <c r="GQ2" s="15">
        <v>0</v>
      </c>
      <c r="GR2" s="15">
        <v>1</v>
      </c>
      <c r="GS2" s="15">
        <v>1</v>
      </c>
      <c r="GT2" s="15">
        <v>0</v>
      </c>
      <c r="GU2" s="15">
        <v>1</v>
      </c>
      <c r="GV2" s="15">
        <v>0</v>
      </c>
      <c r="GW2" s="15">
        <v>0</v>
      </c>
      <c r="GX2" s="15">
        <v>0</v>
      </c>
      <c r="GY2" s="15">
        <v>0</v>
      </c>
      <c r="GZ2" s="15">
        <v>0</v>
      </c>
      <c r="HA2" s="15">
        <v>0</v>
      </c>
      <c r="HB2" s="15">
        <v>1</v>
      </c>
      <c r="HC2" s="15">
        <v>0</v>
      </c>
      <c r="HD2" s="15">
        <v>0</v>
      </c>
      <c r="HE2" s="15">
        <v>0</v>
      </c>
      <c r="HF2" s="15">
        <v>0</v>
      </c>
      <c r="HG2" s="15">
        <v>0</v>
      </c>
      <c r="HH2" s="15">
        <v>1</v>
      </c>
      <c r="HI2" s="15">
        <v>1</v>
      </c>
      <c r="HJ2" s="15">
        <v>0</v>
      </c>
      <c r="HK2" s="15">
        <v>0</v>
      </c>
      <c r="HL2" s="15">
        <v>1</v>
      </c>
      <c r="HM2" s="15"/>
      <c r="HN2" s="15">
        <v>1</v>
      </c>
      <c r="HO2" s="15">
        <v>1</v>
      </c>
      <c r="HP2" s="15">
        <v>0</v>
      </c>
      <c r="HQ2" s="15">
        <v>0</v>
      </c>
      <c r="HR2" s="15">
        <v>0</v>
      </c>
      <c r="HS2" s="15">
        <v>0</v>
      </c>
      <c r="HT2" s="15">
        <v>1</v>
      </c>
      <c r="HU2" s="15">
        <v>1</v>
      </c>
      <c r="HV2" s="15">
        <v>0</v>
      </c>
      <c r="HW2" s="15">
        <v>0</v>
      </c>
      <c r="HX2" s="15">
        <v>0</v>
      </c>
      <c r="HY2" s="22">
        <v>44897</v>
      </c>
      <c r="HZ2" s="15" t="s">
        <v>231</v>
      </c>
      <c r="IA2" s="15">
        <v>1</v>
      </c>
      <c r="IB2" s="15">
        <v>1</v>
      </c>
      <c r="IC2" s="15">
        <v>1</v>
      </c>
      <c r="ID2" s="15">
        <v>0</v>
      </c>
      <c r="IE2" s="15">
        <v>1</v>
      </c>
      <c r="IF2" s="15">
        <v>0</v>
      </c>
      <c r="IG2" s="15">
        <v>0</v>
      </c>
      <c r="IH2" s="15">
        <v>0</v>
      </c>
      <c r="II2" s="15">
        <v>0</v>
      </c>
      <c r="IJ2" s="15">
        <v>0</v>
      </c>
      <c r="IK2" s="15">
        <v>1</v>
      </c>
      <c r="IL2" s="15">
        <v>1</v>
      </c>
      <c r="IM2" s="15">
        <v>0</v>
      </c>
      <c r="IN2" s="15">
        <v>0</v>
      </c>
      <c r="IO2" s="15">
        <v>0</v>
      </c>
      <c r="IP2" s="15">
        <v>0</v>
      </c>
      <c r="IQ2" s="15">
        <v>1</v>
      </c>
      <c r="IR2" s="15">
        <v>0</v>
      </c>
      <c r="IS2" s="15">
        <v>0</v>
      </c>
      <c r="IT2" s="15">
        <v>0</v>
      </c>
      <c r="IU2" s="15">
        <v>1</v>
      </c>
      <c r="IV2" s="15">
        <v>0</v>
      </c>
      <c r="IW2" s="15">
        <v>1</v>
      </c>
      <c r="IX2" s="15">
        <v>1</v>
      </c>
      <c r="IY2" s="15">
        <v>0</v>
      </c>
      <c r="IZ2" s="15">
        <v>0</v>
      </c>
      <c r="JA2" s="15">
        <v>1</v>
      </c>
      <c r="JB2" s="15">
        <v>0</v>
      </c>
      <c r="JC2" s="15">
        <v>1</v>
      </c>
      <c r="JD2" s="15">
        <v>0</v>
      </c>
      <c r="JE2" s="15">
        <v>0</v>
      </c>
      <c r="JF2" s="15">
        <v>0</v>
      </c>
      <c r="JG2" s="15">
        <v>0</v>
      </c>
      <c r="JH2" s="15">
        <v>0</v>
      </c>
      <c r="JI2" s="15">
        <v>0</v>
      </c>
      <c r="JJ2" s="15">
        <v>1</v>
      </c>
      <c r="JK2" s="15">
        <v>0</v>
      </c>
      <c r="JL2" s="15">
        <v>0</v>
      </c>
      <c r="JM2" s="15">
        <v>0</v>
      </c>
      <c r="JN2" s="15">
        <v>0</v>
      </c>
      <c r="JO2" s="15">
        <v>0</v>
      </c>
      <c r="JP2" s="15">
        <v>0</v>
      </c>
      <c r="JQ2" s="15">
        <v>1</v>
      </c>
      <c r="JR2" s="15">
        <v>0</v>
      </c>
      <c r="JS2" s="15">
        <v>0</v>
      </c>
      <c r="JT2" s="15">
        <v>0</v>
      </c>
      <c r="JU2" s="15">
        <v>0</v>
      </c>
      <c r="JV2" s="15">
        <v>0</v>
      </c>
      <c r="JW2" s="15">
        <v>1</v>
      </c>
      <c r="JX2" s="15">
        <v>0</v>
      </c>
      <c r="JY2" s="15">
        <v>0</v>
      </c>
      <c r="JZ2" s="15">
        <v>0</v>
      </c>
      <c r="KA2" s="15">
        <v>0</v>
      </c>
      <c r="KB2" s="15">
        <v>1</v>
      </c>
      <c r="KC2" s="15">
        <v>1</v>
      </c>
      <c r="KD2" s="15">
        <v>0</v>
      </c>
      <c r="KE2" s="15">
        <v>0</v>
      </c>
      <c r="KF2" s="15">
        <v>0</v>
      </c>
      <c r="KI2">
        <v>1</v>
      </c>
      <c r="KJ2">
        <v>1</v>
      </c>
      <c r="KK2">
        <v>1</v>
      </c>
      <c r="KL2">
        <v>0</v>
      </c>
      <c r="KM2">
        <v>1</v>
      </c>
      <c r="KN2">
        <v>0</v>
      </c>
      <c r="KO2">
        <v>0</v>
      </c>
      <c r="KP2">
        <v>0</v>
      </c>
      <c r="KQ2">
        <v>0</v>
      </c>
      <c r="KR2">
        <v>1</v>
      </c>
      <c r="KS2">
        <v>1</v>
      </c>
      <c r="KT2">
        <v>1</v>
      </c>
      <c r="KU2">
        <v>1</v>
      </c>
      <c r="KV2">
        <v>0</v>
      </c>
      <c r="KW2">
        <v>0</v>
      </c>
      <c r="KX2">
        <v>0</v>
      </c>
      <c r="KY2">
        <v>1</v>
      </c>
      <c r="KZ2">
        <v>0</v>
      </c>
      <c r="LA2">
        <v>0</v>
      </c>
      <c r="LB2">
        <v>0</v>
      </c>
      <c r="LC2">
        <v>1</v>
      </c>
      <c r="LD2">
        <v>0</v>
      </c>
      <c r="LE2">
        <v>1</v>
      </c>
      <c r="LF2">
        <v>1</v>
      </c>
      <c r="LG2">
        <v>0</v>
      </c>
      <c r="LH2">
        <v>1</v>
      </c>
      <c r="LI2">
        <v>1</v>
      </c>
      <c r="LJ2">
        <v>0</v>
      </c>
      <c r="LK2">
        <v>1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1</v>
      </c>
      <c r="LS2">
        <v>0</v>
      </c>
      <c r="LT2">
        <v>0</v>
      </c>
      <c r="LU2">
        <v>0</v>
      </c>
      <c r="LV2">
        <v>0</v>
      </c>
      <c r="LW2">
        <v>0</v>
      </c>
      <c r="LX2">
        <v>1</v>
      </c>
      <c r="LY2">
        <v>1</v>
      </c>
      <c r="LZ2">
        <v>0</v>
      </c>
      <c r="MA2">
        <v>0</v>
      </c>
      <c r="MB2">
        <v>1</v>
      </c>
      <c r="MC2">
        <v>0</v>
      </c>
      <c r="MD2">
        <v>1</v>
      </c>
      <c r="ME2">
        <v>1</v>
      </c>
      <c r="MF2">
        <v>0</v>
      </c>
      <c r="MG2">
        <v>0</v>
      </c>
      <c r="MH2">
        <v>0</v>
      </c>
      <c r="MI2">
        <v>0</v>
      </c>
      <c r="MJ2">
        <v>1</v>
      </c>
      <c r="MK2">
        <v>1</v>
      </c>
      <c r="ML2">
        <v>0</v>
      </c>
      <c r="MM2">
        <v>0</v>
      </c>
      <c r="MN2">
        <v>0</v>
      </c>
      <c r="MO2">
        <v>0</v>
      </c>
      <c r="MP2">
        <v>0</v>
      </c>
      <c r="MQ2">
        <f>MH2+MA2+LZ2</f>
        <v>0</v>
      </c>
      <c r="MR2">
        <f>MH2+MC2+MA2+LZ2</f>
        <v>0</v>
      </c>
      <c r="MT2">
        <v>0</v>
      </c>
    </row>
    <row r="3" spans="1:359" ht="18" x14ac:dyDescent="0.25">
      <c r="A3" t="s">
        <v>395</v>
      </c>
      <c r="B3" s="3">
        <v>71</v>
      </c>
      <c r="C3" s="3">
        <v>1</v>
      </c>
      <c r="D3" s="3">
        <v>0</v>
      </c>
      <c r="E3" s="3"/>
      <c r="F3" s="55">
        <v>888</v>
      </c>
      <c r="G3" s="55"/>
      <c r="H3" s="57">
        <v>0</v>
      </c>
      <c r="I3" s="57">
        <v>0</v>
      </c>
      <c r="J3" s="57"/>
      <c r="K3" s="3"/>
      <c r="L3" s="3"/>
      <c r="M3" s="3"/>
      <c r="N3" s="3">
        <v>0</v>
      </c>
      <c r="O3" s="2">
        <v>45076</v>
      </c>
      <c r="P3" s="64">
        <f t="shared" ref="P3:P64" si="0">O3-AX3</f>
        <v>888</v>
      </c>
      <c r="Q3">
        <v>1</v>
      </c>
      <c r="R3">
        <v>1</v>
      </c>
      <c r="S3">
        <v>0</v>
      </c>
      <c r="T3">
        <v>95</v>
      </c>
      <c r="U3">
        <v>0</v>
      </c>
      <c r="V3">
        <v>1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45</v>
      </c>
      <c r="AO3">
        <v>160</v>
      </c>
      <c r="AP3">
        <v>17.5</v>
      </c>
      <c r="AQ3">
        <v>36.799999999999997</v>
      </c>
      <c r="AR3">
        <v>118</v>
      </c>
      <c r="AS3">
        <v>61</v>
      </c>
      <c r="AT3">
        <v>3</v>
      </c>
      <c r="AU3">
        <v>1</v>
      </c>
      <c r="AV3">
        <v>41</v>
      </c>
      <c r="AW3" s="1">
        <v>44187</v>
      </c>
      <c r="AX3" s="1">
        <v>44188</v>
      </c>
      <c r="AY3">
        <v>0</v>
      </c>
      <c r="AZ3" s="1">
        <v>44180</v>
      </c>
      <c r="BA3">
        <v>1</v>
      </c>
      <c r="BB3">
        <v>1</v>
      </c>
      <c r="BC3">
        <v>1</v>
      </c>
      <c r="BD3">
        <v>0</v>
      </c>
      <c r="BE3">
        <v>0</v>
      </c>
      <c r="BF3">
        <v>1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 s="66">
        <v>0</v>
      </c>
      <c r="BN3">
        <v>1</v>
      </c>
      <c r="BO3">
        <v>0</v>
      </c>
      <c r="BP3" s="66">
        <f t="shared" ref="BP3:BP6" si="1">BJ3+BK3+BL3+BM3+BN3+BO3</f>
        <v>1</v>
      </c>
      <c r="BQ3">
        <v>0</v>
      </c>
      <c r="BR3">
        <v>0</v>
      </c>
      <c r="BS3">
        <v>0</v>
      </c>
      <c r="BT3">
        <v>0</v>
      </c>
      <c r="BU3" s="66">
        <f t="shared" ref="BU3:BU6" si="2">BM3</f>
        <v>0</v>
      </c>
      <c r="BV3">
        <v>1</v>
      </c>
      <c r="BW3">
        <v>0</v>
      </c>
      <c r="BX3" s="66">
        <f t="shared" ref="BX3:BX64" si="3">BR3+BS3+BT3+BU3+BV3+BW3</f>
        <v>1</v>
      </c>
      <c r="BY3">
        <v>0</v>
      </c>
      <c r="BZ3">
        <f t="shared" ref="BZ3:BZ64" si="4">BY3+BQ3</f>
        <v>0</v>
      </c>
      <c r="CA3">
        <v>1</v>
      </c>
      <c r="CB3">
        <v>0</v>
      </c>
      <c r="CC3">
        <v>2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1</v>
      </c>
      <c r="CO3">
        <v>1</v>
      </c>
      <c r="CP3">
        <v>0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0</v>
      </c>
      <c r="CX3">
        <v>1</v>
      </c>
      <c r="CY3">
        <v>0</v>
      </c>
      <c r="DA3" s="1">
        <v>44188</v>
      </c>
      <c r="DB3" s="66">
        <f t="shared" ref="DB3:DB64" si="5">DA3-AZ3</f>
        <v>8</v>
      </c>
      <c r="DC3" t="s">
        <v>1</v>
      </c>
      <c r="DD3">
        <v>0</v>
      </c>
      <c r="DE3" s="1">
        <v>44202</v>
      </c>
      <c r="DF3">
        <v>15</v>
      </c>
      <c r="DG3" s="1">
        <v>44188</v>
      </c>
      <c r="DH3">
        <v>13</v>
      </c>
      <c r="DI3">
        <v>18</v>
      </c>
      <c r="DJ3">
        <v>1.1000000000000001</v>
      </c>
      <c r="DK3" s="66">
        <v>542</v>
      </c>
      <c r="DL3">
        <v>6</v>
      </c>
      <c r="DM3">
        <v>90</v>
      </c>
      <c r="DO3">
        <v>2</v>
      </c>
      <c r="DP3">
        <v>542</v>
      </c>
      <c r="DR3">
        <v>115</v>
      </c>
      <c r="DS3">
        <v>11</v>
      </c>
      <c r="DW3" s="1">
        <v>44187</v>
      </c>
      <c r="DX3">
        <v>20.3</v>
      </c>
      <c r="DY3">
        <v>10.6</v>
      </c>
      <c r="DZ3">
        <v>0</v>
      </c>
      <c r="EA3">
        <v>20.3</v>
      </c>
      <c r="EB3">
        <v>1</v>
      </c>
      <c r="EC3">
        <v>1.7</v>
      </c>
      <c r="ED3">
        <v>0.9</v>
      </c>
      <c r="EE3">
        <v>0</v>
      </c>
      <c r="EF3">
        <v>1.7</v>
      </c>
      <c r="EG3">
        <v>0</v>
      </c>
      <c r="EH3">
        <v>159</v>
      </c>
      <c r="EI3" s="62">
        <v>0.61635220125786205</v>
      </c>
      <c r="EJ3">
        <v>98</v>
      </c>
      <c r="EK3">
        <v>0</v>
      </c>
      <c r="EL3">
        <f t="shared" ref="EL3:EL64" si="6">EJ3-EH3</f>
        <v>-61</v>
      </c>
      <c r="EM3">
        <v>159</v>
      </c>
      <c r="EN3">
        <v>0</v>
      </c>
      <c r="ER3">
        <v>21</v>
      </c>
      <c r="ET3">
        <v>16</v>
      </c>
      <c r="EU3">
        <v>5</v>
      </c>
      <c r="EV3">
        <v>35</v>
      </c>
      <c r="EW3">
        <v>90</v>
      </c>
      <c r="EX3">
        <v>10</v>
      </c>
      <c r="EY3">
        <v>5</v>
      </c>
      <c r="FB3">
        <v>1</v>
      </c>
      <c r="FC3">
        <v>1</v>
      </c>
      <c r="FD3">
        <v>0</v>
      </c>
      <c r="FF3">
        <v>1</v>
      </c>
      <c r="FG3">
        <v>0</v>
      </c>
      <c r="FI3"/>
      <c r="FK3">
        <v>0</v>
      </c>
      <c r="FL3">
        <v>0</v>
      </c>
      <c r="FO3">
        <v>0</v>
      </c>
      <c r="FQ3" s="22">
        <v>44187</v>
      </c>
      <c r="FR3" s="22" t="s">
        <v>230</v>
      </c>
      <c r="FS3" s="15">
        <v>1</v>
      </c>
      <c r="FT3" s="15">
        <v>0</v>
      </c>
      <c r="FU3" s="15">
        <v>1</v>
      </c>
      <c r="FV3" s="15">
        <v>0</v>
      </c>
      <c r="FW3" s="15">
        <v>1</v>
      </c>
      <c r="FX3" s="15">
        <v>0</v>
      </c>
      <c r="FY3" s="15">
        <v>0</v>
      </c>
      <c r="FZ3" s="15">
        <v>0</v>
      </c>
      <c r="GA3" s="15">
        <v>0</v>
      </c>
      <c r="GB3" s="15">
        <v>0</v>
      </c>
      <c r="GC3" s="15">
        <v>1</v>
      </c>
      <c r="GD3" s="15">
        <v>1</v>
      </c>
      <c r="GE3" s="15">
        <v>1</v>
      </c>
      <c r="GF3" s="15">
        <v>0</v>
      </c>
      <c r="GG3" s="15">
        <v>0</v>
      </c>
      <c r="GH3" s="15">
        <v>0</v>
      </c>
      <c r="GI3" s="15">
        <v>0</v>
      </c>
      <c r="GJ3" s="15">
        <v>0</v>
      </c>
      <c r="GK3" s="15">
        <v>1</v>
      </c>
      <c r="GL3" s="15">
        <v>0</v>
      </c>
      <c r="GM3" s="15">
        <v>0</v>
      </c>
      <c r="GN3" s="15">
        <v>1</v>
      </c>
      <c r="GO3" s="15">
        <v>1</v>
      </c>
      <c r="GP3" s="15">
        <v>0</v>
      </c>
      <c r="GQ3" s="15">
        <v>1</v>
      </c>
      <c r="GR3" s="15">
        <v>1</v>
      </c>
      <c r="GS3" s="15">
        <v>1</v>
      </c>
      <c r="GT3" s="15">
        <v>1</v>
      </c>
      <c r="GU3" s="15">
        <v>1</v>
      </c>
      <c r="GV3" s="15">
        <v>0</v>
      </c>
      <c r="GW3" s="15">
        <v>0</v>
      </c>
      <c r="GX3" s="15">
        <v>0</v>
      </c>
      <c r="GY3" s="15">
        <v>0</v>
      </c>
      <c r="GZ3" s="15">
        <v>0</v>
      </c>
      <c r="HA3" s="15">
        <v>0</v>
      </c>
      <c r="HB3" s="15">
        <v>0</v>
      </c>
      <c r="HC3" s="15">
        <v>1</v>
      </c>
      <c r="HD3" s="15" t="s">
        <v>232</v>
      </c>
      <c r="HE3" s="15">
        <v>0</v>
      </c>
      <c r="HF3" s="15">
        <v>0</v>
      </c>
      <c r="HG3" s="15">
        <v>0</v>
      </c>
      <c r="HH3" s="15">
        <v>1</v>
      </c>
      <c r="HI3" s="15">
        <v>1</v>
      </c>
      <c r="HJ3" s="15">
        <v>1</v>
      </c>
      <c r="HK3" s="15">
        <v>1</v>
      </c>
      <c r="HL3" s="15">
        <v>1</v>
      </c>
      <c r="HM3" s="15">
        <v>0</v>
      </c>
      <c r="HN3" s="15">
        <v>1</v>
      </c>
      <c r="HO3" s="15">
        <v>1</v>
      </c>
      <c r="HP3" s="15">
        <v>0</v>
      </c>
      <c r="HQ3" s="15">
        <v>0</v>
      </c>
      <c r="HR3" s="15">
        <v>0</v>
      </c>
      <c r="HS3" s="15">
        <v>0</v>
      </c>
      <c r="HT3" s="15">
        <v>1</v>
      </c>
      <c r="HU3" s="15">
        <v>1</v>
      </c>
      <c r="HV3" s="15">
        <v>0</v>
      </c>
      <c r="HW3" s="15">
        <v>0</v>
      </c>
      <c r="HX3" s="15">
        <v>1</v>
      </c>
      <c r="HY3" s="22">
        <v>44190</v>
      </c>
      <c r="HZ3" s="15" t="s">
        <v>231</v>
      </c>
      <c r="IA3" s="15">
        <v>1</v>
      </c>
      <c r="IB3" s="15">
        <v>1</v>
      </c>
      <c r="IC3" s="15">
        <v>1</v>
      </c>
      <c r="ID3" s="15">
        <v>0</v>
      </c>
      <c r="IE3" s="15">
        <v>1</v>
      </c>
      <c r="IF3" s="15">
        <v>0</v>
      </c>
      <c r="IG3" s="15">
        <v>0</v>
      </c>
      <c r="IH3" s="15">
        <v>0</v>
      </c>
      <c r="II3" s="15">
        <v>0</v>
      </c>
      <c r="IJ3" s="15">
        <v>0</v>
      </c>
      <c r="IK3" s="15">
        <v>1</v>
      </c>
      <c r="IL3" s="15">
        <v>1</v>
      </c>
      <c r="IM3" s="15">
        <v>1</v>
      </c>
      <c r="IN3" s="15">
        <v>0</v>
      </c>
      <c r="IO3" s="15">
        <v>0</v>
      </c>
      <c r="IP3" s="15">
        <v>0</v>
      </c>
      <c r="IQ3" s="15">
        <v>0</v>
      </c>
      <c r="IR3" s="15">
        <v>0</v>
      </c>
      <c r="IS3" s="15">
        <v>1</v>
      </c>
      <c r="IT3" s="15">
        <v>0</v>
      </c>
      <c r="IU3" s="15">
        <v>0</v>
      </c>
      <c r="IV3" s="15">
        <v>1</v>
      </c>
      <c r="IW3" s="15">
        <v>1</v>
      </c>
      <c r="IX3" s="15">
        <v>0</v>
      </c>
      <c r="IY3" s="15">
        <v>1</v>
      </c>
      <c r="IZ3" s="15">
        <v>1</v>
      </c>
      <c r="JA3" s="15">
        <v>1</v>
      </c>
      <c r="JB3" s="15">
        <v>1</v>
      </c>
      <c r="JC3" s="15">
        <v>1</v>
      </c>
      <c r="JD3" s="15">
        <v>0</v>
      </c>
      <c r="JE3" s="15">
        <v>0</v>
      </c>
      <c r="JF3" s="15">
        <v>0</v>
      </c>
      <c r="JG3" s="15">
        <v>0</v>
      </c>
      <c r="JH3" s="15">
        <v>0</v>
      </c>
      <c r="JI3" s="15">
        <v>0</v>
      </c>
      <c r="JJ3" s="15">
        <v>0</v>
      </c>
      <c r="JK3" s="15">
        <v>1</v>
      </c>
      <c r="JL3" s="15" t="s">
        <v>232</v>
      </c>
      <c r="JM3" s="15">
        <v>0</v>
      </c>
      <c r="JN3" s="15">
        <v>0</v>
      </c>
      <c r="JO3" s="15">
        <v>0</v>
      </c>
      <c r="JP3" s="15">
        <v>1</v>
      </c>
      <c r="JQ3" s="15">
        <v>1</v>
      </c>
      <c r="JR3" s="15">
        <v>0</v>
      </c>
      <c r="JS3" s="15">
        <v>0</v>
      </c>
      <c r="JT3" s="15">
        <v>1</v>
      </c>
      <c r="JU3" s="15">
        <v>0</v>
      </c>
      <c r="JV3" s="15">
        <v>1</v>
      </c>
      <c r="JW3" s="15">
        <v>1</v>
      </c>
      <c r="JX3" s="15">
        <v>0</v>
      </c>
      <c r="JY3" s="15">
        <v>0</v>
      </c>
      <c r="JZ3" s="15">
        <v>0</v>
      </c>
      <c r="KA3" s="15">
        <v>0</v>
      </c>
      <c r="KB3" s="15">
        <v>1</v>
      </c>
      <c r="KC3" s="15">
        <v>1</v>
      </c>
      <c r="KD3" s="15">
        <v>0</v>
      </c>
      <c r="KE3" s="15">
        <v>0</v>
      </c>
      <c r="KF3" s="15">
        <v>1</v>
      </c>
      <c r="KI3">
        <v>1</v>
      </c>
      <c r="KJ3">
        <v>1</v>
      </c>
      <c r="KK3">
        <v>1</v>
      </c>
      <c r="KL3">
        <v>0</v>
      </c>
      <c r="KM3">
        <v>1</v>
      </c>
      <c r="KN3">
        <v>0</v>
      </c>
      <c r="KO3">
        <v>0</v>
      </c>
      <c r="KP3">
        <v>0</v>
      </c>
      <c r="KQ3">
        <v>0</v>
      </c>
      <c r="KR3">
        <v>0</v>
      </c>
      <c r="KS3">
        <v>1</v>
      </c>
      <c r="KT3">
        <v>1</v>
      </c>
      <c r="KU3">
        <v>1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0</v>
      </c>
      <c r="LC3">
        <v>0</v>
      </c>
      <c r="LD3">
        <v>1</v>
      </c>
      <c r="LE3">
        <v>1</v>
      </c>
      <c r="LF3">
        <v>0</v>
      </c>
      <c r="LG3">
        <v>1</v>
      </c>
      <c r="LH3">
        <v>1</v>
      </c>
      <c r="LI3">
        <v>1</v>
      </c>
      <c r="LJ3">
        <v>1</v>
      </c>
      <c r="LK3">
        <v>1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1</v>
      </c>
      <c r="LU3">
        <v>0</v>
      </c>
      <c r="LV3">
        <v>0</v>
      </c>
      <c r="LW3">
        <v>0</v>
      </c>
      <c r="LX3">
        <v>1</v>
      </c>
      <c r="LY3">
        <v>1</v>
      </c>
      <c r="LZ3">
        <v>1</v>
      </c>
      <c r="MA3">
        <v>1</v>
      </c>
      <c r="MB3">
        <v>1</v>
      </c>
      <c r="MC3">
        <v>0</v>
      </c>
      <c r="MD3">
        <v>1</v>
      </c>
      <c r="ME3">
        <v>1</v>
      </c>
      <c r="MF3">
        <v>0</v>
      </c>
      <c r="MG3">
        <v>0</v>
      </c>
      <c r="MH3">
        <v>0</v>
      </c>
      <c r="MI3">
        <v>0</v>
      </c>
      <c r="MJ3">
        <v>1</v>
      </c>
      <c r="MK3">
        <v>1</v>
      </c>
      <c r="ML3">
        <v>0</v>
      </c>
      <c r="MM3">
        <v>0</v>
      </c>
      <c r="MN3">
        <v>1</v>
      </c>
      <c r="MO3">
        <v>1</v>
      </c>
      <c r="MP3">
        <v>0</v>
      </c>
      <c r="MQ3">
        <v>1</v>
      </c>
      <c r="MR3">
        <v>1</v>
      </c>
      <c r="MS3">
        <v>0</v>
      </c>
      <c r="MT3">
        <v>1</v>
      </c>
    </row>
    <row r="4" spans="1:359" ht="18" x14ac:dyDescent="0.25">
      <c r="A4" t="s">
        <v>396</v>
      </c>
      <c r="B4" s="3">
        <v>50</v>
      </c>
      <c r="C4" s="3">
        <v>0</v>
      </c>
      <c r="D4" s="3">
        <v>1</v>
      </c>
      <c r="E4" s="26">
        <v>44703</v>
      </c>
      <c r="F4" s="61">
        <v>4</v>
      </c>
      <c r="G4" s="61"/>
      <c r="H4" s="57">
        <v>1</v>
      </c>
      <c r="I4" s="57">
        <v>1</v>
      </c>
      <c r="J4" s="57">
        <v>0</v>
      </c>
      <c r="K4" s="3" t="s">
        <v>28</v>
      </c>
      <c r="L4" s="64">
        <v>2</v>
      </c>
      <c r="M4" s="3"/>
      <c r="N4" s="3">
        <v>0</v>
      </c>
      <c r="O4" s="2">
        <v>45035</v>
      </c>
      <c r="P4" s="64">
        <f t="shared" si="0"/>
        <v>336</v>
      </c>
      <c r="Q4">
        <v>1</v>
      </c>
      <c r="R4">
        <v>0</v>
      </c>
      <c r="S4">
        <v>1</v>
      </c>
      <c r="T4">
        <v>92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72</v>
      </c>
      <c r="AO4">
        <v>176</v>
      </c>
      <c r="AP4">
        <v>23.2</v>
      </c>
      <c r="AQ4">
        <v>36.700000000000003</v>
      </c>
      <c r="AV4">
        <v>63</v>
      </c>
      <c r="AW4" s="1">
        <v>44699</v>
      </c>
      <c r="AX4" s="1">
        <v>44699</v>
      </c>
      <c r="AY4">
        <v>0</v>
      </c>
      <c r="AZ4" s="1">
        <v>44695</v>
      </c>
      <c r="BA4">
        <v>1</v>
      </c>
      <c r="BB4">
        <v>1</v>
      </c>
      <c r="BC4">
        <v>0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3</v>
      </c>
      <c r="BK4">
        <v>0</v>
      </c>
      <c r="BL4">
        <v>0</v>
      </c>
      <c r="BM4" s="66">
        <v>0</v>
      </c>
      <c r="BN4">
        <v>0</v>
      </c>
      <c r="BO4">
        <v>1</v>
      </c>
      <c r="BP4" s="66">
        <f t="shared" si="1"/>
        <v>4</v>
      </c>
      <c r="BQ4">
        <v>1</v>
      </c>
      <c r="BR4">
        <v>3</v>
      </c>
      <c r="BS4">
        <v>3</v>
      </c>
      <c r="BT4">
        <v>0</v>
      </c>
      <c r="BU4" s="66">
        <f t="shared" si="2"/>
        <v>0</v>
      </c>
      <c r="BV4">
        <v>0</v>
      </c>
      <c r="BW4">
        <v>1</v>
      </c>
      <c r="BX4" s="66">
        <f t="shared" si="3"/>
        <v>7</v>
      </c>
      <c r="BY4">
        <v>1</v>
      </c>
      <c r="BZ4">
        <v>1</v>
      </c>
      <c r="CA4">
        <v>1</v>
      </c>
      <c r="CB4">
        <v>1</v>
      </c>
      <c r="CC4">
        <v>3</v>
      </c>
      <c r="CD4">
        <v>1</v>
      </c>
      <c r="CE4">
        <v>0</v>
      </c>
      <c r="CF4">
        <v>0</v>
      </c>
      <c r="CG4">
        <v>0</v>
      </c>
      <c r="CH4">
        <v>0</v>
      </c>
      <c r="CI4">
        <v>1</v>
      </c>
      <c r="CJ4">
        <v>0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DA4" s="1">
        <v>44729</v>
      </c>
      <c r="DB4" s="66">
        <f t="shared" si="5"/>
        <v>34</v>
      </c>
      <c r="DC4" t="s">
        <v>1</v>
      </c>
      <c r="DD4">
        <v>1</v>
      </c>
      <c r="DE4" s="1">
        <v>44740</v>
      </c>
      <c r="DF4">
        <v>12</v>
      </c>
      <c r="DG4" s="1">
        <v>44699</v>
      </c>
      <c r="DH4">
        <v>14.3</v>
      </c>
      <c r="DI4">
        <v>19</v>
      </c>
      <c r="DJ4">
        <v>5</v>
      </c>
      <c r="DK4" s="66">
        <v>389</v>
      </c>
      <c r="DL4">
        <v>4</v>
      </c>
      <c r="DM4">
        <v>44</v>
      </c>
      <c r="DN4">
        <v>5384</v>
      </c>
      <c r="DP4">
        <v>517</v>
      </c>
      <c r="DQ4">
        <v>5400</v>
      </c>
      <c r="DR4">
        <v>67</v>
      </c>
      <c r="DS4">
        <v>5.8</v>
      </c>
      <c r="DT4">
        <v>484</v>
      </c>
      <c r="DW4" s="1">
        <v>44699</v>
      </c>
      <c r="DX4">
        <v>8.5</v>
      </c>
      <c r="DY4">
        <v>21.8</v>
      </c>
      <c r="DZ4">
        <v>1</v>
      </c>
      <c r="EA4">
        <v>21.8</v>
      </c>
      <c r="EB4">
        <v>1</v>
      </c>
      <c r="EC4">
        <v>2.2000000000000002</v>
      </c>
      <c r="ED4">
        <f>EF4</f>
        <v>2.2000000000000002</v>
      </c>
      <c r="EE4">
        <v>1</v>
      </c>
      <c r="EF4">
        <v>2.2000000000000002</v>
      </c>
      <c r="EG4">
        <v>1</v>
      </c>
      <c r="EH4">
        <v>20</v>
      </c>
      <c r="EI4" s="62">
        <v>9.75</v>
      </c>
      <c r="EJ4">
        <v>195</v>
      </c>
      <c r="EK4">
        <v>0</v>
      </c>
      <c r="EL4">
        <f t="shared" si="6"/>
        <v>175</v>
      </c>
      <c r="EM4">
        <v>195</v>
      </c>
      <c r="EN4">
        <v>0</v>
      </c>
      <c r="ER4">
        <v>19</v>
      </c>
      <c r="ET4">
        <v>31</v>
      </c>
      <c r="EU4">
        <v>37</v>
      </c>
      <c r="EV4">
        <v>71</v>
      </c>
      <c r="EW4">
        <v>129</v>
      </c>
      <c r="EX4">
        <v>69</v>
      </c>
      <c r="EY4">
        <v>25</v>
      </c>
      <c r="FA4">
        <v>7.36</v>
      </c>
      <c r="FC4">
        <v>1</v>
      </c>
      <c r="FD4">
        <v>0</v>
      </c>
      <c r="FF4">
        <v>1</v>
      </c>
      <c r="FG4">
        <v>0</v>
      </c>
      <c r="FI4"/>
      <c r="FK4">
        <v>0</v>
      </c>
      <c r="FL4">
        <v>1</v>
      </c>
      <c r="FM4">
        <v>160</v>
      </c>
      <c r="FN4">
        <v>100</v>
      </c>
      <c r="FO4">
        <v>0</v>
      </c>
      <c r="FQ4" s="22">
        <v>44698</v>
      </c>
      <c r="FR4" s="22" t="s">
        <v>230</v>
      </c>
      <c r="FS4" s="15">
        <v>1</v>
      </c>
      <c r="FT4" s="15">
        <v>1</v>
      </c>
      <c r="FU4" s="15">
        <v>1</v>
      </c>
      <c r="FV4" s="15">
        <v>0</v>
      </c>
      <c r="FW4" s="15">
        <v>1</v>
      </c>
      <c r="FX4" s="15">
        <v>0</v>
      </c>
      <c r="FY4" s="15">
        <v>0</v>
      </c>
      <c r="FZ4" s="15">
        <v>0</v>
      </c>
      <c r="GA4" s="15">
        <v>1</v>
      </c>
      <c r="GB4" s="15">
        <v>1</v>
      </c>
      <c r="GC4" s="15">
        <v>1</v>
      </c>
      <c r="GD4" s="15">
        <v>1</v>
      </c>
      <c r="GE4" s="15">
        <v>0</v>
      </c>
      <c r="GF4" s="15">
        <v>0</v>
      </c>
      <c r="GG4" s="15">
        <v>0</v>
      </c>
      <c r="GH4" s="15">
        <v>0</v>
      </c>
      <c r="GI4" s="15">
        <v>1</v>
      </c>
      <c r="GJ4" s="15">
        <v>0</v>
      </c>
      <c r="GK4" s="15">
        <v>0</v>
      </c>
      <c r="GL4" s="15">
        <v>0</v>
      </c>
      <c r="GM4" s="15">
        <v>0</v>
      </c>
      <c r="GN4" s="15">
        <v>1</v>
      </c>
      <c r="GO4" s="15">
        <v>1</v>
      </c>
      <c r="GP4" s="15">
        <v>0</v>
      </c>
      <c r="GQ4" s="15">
        <v>1</v>
      </c>
      <c r="GR4" s="15">
        <v>1</v>
      </c>
      <c r="GS4" s="15">
        <v>1</v>
      </c>
      <c r="GT4" s="15">
        <v>1</v>
      </c>
      <c r="GU4" s="15">
        <v>1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1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1</v>
      </c>
      <c r="HI4" s="15">
        <v>1</v>
      </c>
      <c r="HJ4" s="15">
        <v>1</v>
      </c>
      <c r="HK4" s="15">
        <v>0</v>
      </c>
      <c r="HL4" s="15">
        <v>1</v>
      </c>
      <c r="HM4" s="15">
        <v>0</v>
      </c>
      <c r="HN4" s="15">
        <v>0</v>
      </c>
      <c r="HO4" s="15">
        <v>1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1</v>
      </c>
      <c r="HX4" s="15">
        <v>1</v>
      </c>
      <c r="HY4" s="22">
        <v>44703</v>
      </c>
      <c r="HZ4" s="15" t="s">
        <v>231</v>
      </c>
      <c r="IA4" s="15">
        <v>1</v>
      </c>
      <c r="IB4" s="15">
        <v>1</v>
      </c>
      <c r="IC4" s="15">
        <v>1</v>
      </c>
      <c r="ID4" s="15">
        <v>0</v>
      </c>
      <c r="IE4" s="15">
        <v>1</v>
      </c>
      <c r="IF4" s="15">
        <v>0</v>
      </c>
      <c r="IG4" s="15">
        <v>0</v>
      </c>
      <c r="IH4" s="15">
        <v>0</v>
      </c>
      <c r="II4" s="15">
        <v>1</v>
      </c>
      <c r="IJ4" s="15">
        <v>1</v>
      </c>
      <c r="IK4" s="15">
        <v>1</v>
      </c>
      <c r="IL4" s="15">
        <v>1</v>
      </c>
      <c r="IM4" s="15">
        <v>0</v>
      </c>
      <c r="IN4" s="15">
        <v>0</v>
      </c>
      <c r="IO4" s="15">
        <v>0</v>
      </c>
      <c r="IP4" s="15">
        <v>0</v>
      </c>
      <c r="IQ4" s="15">
        <v>1</v>
      </c>
      <c r="IR4" s="15">
        <v>0</v>
      </c>
      <c r="IS4" s="15">
        <v>0</v>
      </c>
      <c r="IT4" s="15">
        <v>0</v>
      </c>
      <c r="IU4" s="15">
        <v>0</v>
      </c>
      <c r="IV4" s="15">
        <v>1</v>
      </c>
      <c r="IW4" s="15">
        <v>1</v>
      </c>
      <c r="IX4" s="15">
        <v>0</v>
      </c>
      <c r="IY4" s="15">
        <v>1</v>
      </c>
      <c r="IZ4" s="15">
        <v>1</v>
      </c>
      <c r="JA4" s="15">
        <v>1</v>
      </c>
      <c r="JB4" s="15">
        <v>1</v>
      </c>
      <c r="JC4" s="15">
        <v>1</v>
      </c>
      <c r="JD4" s="15">
        <v>0</v>
      </c>
      <c r="JE4" s="15">
        <v>0</v>
      </c>
      <c r="JF4" s="15">
        <v>0</v>
      </c>
      <c r="JG4" s="15">
        <v>0</v>
      </c>
      <c r="JH4" s="15">
        <v>0</v>
      </c>
      <c r="JI4" s="15">
        <v>0</v>
      </c>
      <c r="JJ4" s="15">
        <v>1</v>
      </c>
      <c r="JK4" s="15">
        <v>0</v>
      </c>
      <c r="JL4" s="15">
        <v>0</v>
      </c>
      <c r="JM4" s="15">
        <v>0</v>
      </c>
      <c r="JN4" s="15">
        <v>0</v>
      </c>
      <c r="JO4" s="15">
        <v>0</v>
      </c>
      <c r="JP4" s="15">
        <v>1</v>
      </c>
      <c r="JQ4" s="15">
        <v>1</v>
      </c>
      <c r="JR4" s="15">
        <v>1</v>
      </c>
      <c r="JS4" s="15">
        <v>0</v>
      </c>
      <c r="JT4" s="15">
        <v>0</v>
      </c>
      <c r="JU4" s="15">
        <v>1</v>
      </c>
      <c r="JV4" s="15">
        <v>0</v>
      </c>
      <c r="JW4" s="15">
        <v>1</v>
      </c>
      <c r="JX4" s="15">
        <v>0</v>
      </c>
      <c r="JY4" s="15">
        <v>0</v>
      </c>
      <c r="JZ4" s="15">
        <v>0</v>
      </c>
      <c r="KA4" s="15">
        <v>0</v>
      </c>
      <c r="KB4" s="15">
        <v>1</v>
      </c>
      <c r="KC4" s="15">
        <v>1</v>
      </c>
      <c r="KD4" s="15">
        <v>0</v>
      </c>
      <c r="KE4" s="15">
        <v>1</v>
      </c>
      <c r="KF4" s="15">
        <v>1</v>
      </c>
      <c r="KI4">
        <v>1</v>
      </c>
      <c r="KJ4">
        <v>1</v>
      </c>
      <c r="KK4">
        <v>1</v>
      </c>
      <c r="KL4">
        <v>0</v>
      </c>
      <c r="KM4">
        <v>1</v>
      </c>
      <c r="KN4">
        <v>0</v>
      </c>
      <c r="KO4">
        <v>0</v>
      </c>
      <c r="KP4">
        <v>0</v>
      </c>
      <c r="KQ4">
        <v>1</v>
      </c>
      <c r="KR4">
        <v>1</v>
      </c>
      <c r="KS4">
        <v>1</v>
      </c>
      <c r="KT4">
        <v>1</v>
      </c>
      <c r="KU4">
        <v>0</v>
      </c>
      <c r="KV4">
        <v>0</v>
      </c>
      <c r="KW4">
        <v>0</v>
      </c>
      <c r="KX4">
        <v>0</v>
      </c>
      <c r="KY4">
        <v>1</v>
      </c>
      <c r="KZ4">
        <v>0</v>
      </c>
      <c r="LA4">
        <v>0</v>
      </c>
      <c r="LB4">
        <v>0</v>
      </c>
      <c r="LC4">
        <v>0</v>
      </c>
      <c r="LD4">
        <v>1</v>
      </c>
      <c r="LE4">
        <v>1</v>
      </c>
      <c r="LF4">
        <v>0</v>
      </c>
      <c r="LG4">
        <v>1</v>
      </c>
      <c r="LH4">
        <v>1</v>
      </c>
      <c r="LI4">
        <v>1</v>
      </c>
      <c r="LJ4">
        <v>1</v>
      </c>
      <c r="LK4">
        <v>1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1</v>
      </c>
      <c r="LS4">
        <v>0</v>
      </c>
      <c r="LT4">
        <v>0</v>
      </c>
      <c r="LU4">
        <v>0</v>
      </c>
      <c r="LV4">
        <v>0</v>
      </c>
      <c r="LW4">
        <v>0</v>
      </c>
      <c r="LX4">
        <v>1</v>
      </c>
      <c r="LY4">
        <v>1</v>
      </c>
      <c r="LZ4">
        <v>1</v>
      </c>
      <c r="MA4">
        <v>0</v>
      </c>
      <c r="MB4">
        <v>1</v>
      </c>
      <c r="MC4">
        <v>1</v>
      </c>
      <c r="MD4">
        <v>0</v>
      </c>
      <c r="ME4">
        <v>1</v>
      </c>
      <c r="MF4">
        <v>0</v>
      </c>
      <c r="MG4">
        <v>0</v>
      </c>
      <c r="MH4">
        <v>0</v>
      </c>
      <c r="MI4">
        <v>0</v>
      </c>
      <c r="MJ4">
        <v>1</v>
      </c>
      <c r="MK4">
        <v>1</v>
      </c>
      <c r="ML4">
        <v>0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</row>
    <row r="5" spans="1:359" ht="18" x14ac:dyDescent="0.25">
      <c r="A5" t="s">
        <v>397</v>
      </c>
      <c r="B5" s="3">
        <v>67</v>
      </c>
      <c r="C5" s="3">
        <v>0</v>
      </c>
      <c r="D5" s="3">
        <v>0</v>
      </c>
      <c r="E5" s="3"/>
      <c r="F5" s="55">
        <v>603</v>
      </c>
      <c r="G5" s="55"/>
      <c r="H5" s="57">
        <v>0</v>
      </c>
      <c r="I5" s="57">
        <v>0</v>
      </c>
      <c r="J5" s="57"/>
      <c r="K5" s="3"/>
      <c r="L5" s="3"/>
      <c r="M5" s="3"/>
      <c r="N5" s="3">
        <v>0</v>
      </c>
      <c r="O5" s="2">
        <v>44832</v>
      </c>
      <c r="P5" s="64">
        <f t="shared" si="0"/>
        <v>603</v>
      </c>
      <c r="Q5">
        <v>4</v>
      </c>
      <c r="R5">
        <v>1</v>
      </c>
      <c r="S5">
        <v>0</v>
      </c>
      <c r="T5">
        <v>93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85</v>
      </c>
      <c r="AO5">
        <v>160</v>
      </c>
      <c r="AP5">
        <v>33.200000000000003</v>
      </c>
      <c r="AQ5">
        <v>38</v>
      </c>
      <c r="AR5">
        <v>120</v>
      </c>
      <c r="AS5">
        <v>60</v>
      </c>
      <c r="AT5">
        <v>2</v>
      </c>
      <c r="AU5">
        <v>0</v>
      </c>
      <c r="AV5">
        <v>66</v>
      </c>
      <c r="AW5" s="1">
        <v>44228</v>
      </c>
      <c r="AX5" s="1">
        <v>44229</v>
      </c>
      <c r="AY5">
        <v>0</v>
      </c>
      <c r="AZ5" s="1">
        <v>44227</v>
      </c>
      <c r="BA5">
        <v>1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0</v>
      </c>
      <c r="BL5">
        <v>0</v>
      </c>
      <c r="BM5" s="66">
        <v>1</v>
      </c>
      <c r="BN5">
        <v>0</v>
      </c>
      <c r="BO5">
        <v>0</v>
      </c>
      <c r="BP5" s="66">
        <f t="shared" si="1"/>
        <v>1</v>
      </c>
      <c r="BQ5">
        <v>0</v>
      </c>
      <c r="BR5">
        <v>0</v>
      </c>
      <c r="BS5">
        <v>0</v>
      </c>
      <c r="BT5">
        <v>0</v>
      </c>
      <c r="BU5" s="66">
        <f t="shared" si="2"/>
        <v>1</v>
      </c>
      <c r="BV5">
        <v>0</v>
      </c>
      <c r="BW5">
        <v>0</v>
      </c>
      <c r="BX5" s="66">
        <f t="shared" si="3"/>
        <v>1</v>
      </c>
      <c r="BY5">
        <v>0</v>
      </c>
      <c r="BZ5">
        <f t="shared" si="4"/>
        <v>0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0</v>
      </c>
      <c r="CO5">
        <v>1</v>
      </c>
      <c r="CP5">
        <v>0</v>
      </c>
      <c r="CQ5">
        <v>0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 s="1">
        <v>44229</v>
      </c>
      <c r="DB5" s="66">
        <f t="shared" si="5"/>
        <v>2</v>
      </c>
      <c r="DC5" t="s">
        <v>1</v>
      </c>
      <c r="DD5">
        <v>0</v>
      </c>
      <c r="DE5" s="1">
        <v>44230</v>
      </c>
      <c r="DF5">
        <v>2</v>
      </c>
      <c r="DG5" s="1">
        <v>44229</v>
      </c>
      <c r="DH5">
        <v>9</v>
      </c>
      <c r="DI5">
        <v>15.2</v>
      </c>
      <c r="DJ5">
        <v>0.7</v>
      </c>
      <c r="DK5" s="66">
        <v>101</v>
      </c>
      <c r="DL5">
        <v>4</v>
      </c>
      <c r="DM5">
        <v>63</v>
      </c>
      <c r="DN5">
        <v>1190</v>
      </c>
      <c r="DO5">
        <v>2</v>
      </c>
      <c r="DP5">
        <v>101</v>
      </c>
      <c r="DQ5">
        <v>1190</v>
      </c>
      <c r="DR5">
        <v>101</v>
      </c>
      <c r="DS5">
        <v>3.5</v>
      </c>
      <c r="DU5">
        <v>203</v>
      </c>
      <c r="DW5" s="1">
        <v>44228</v>
      </c>
      <c r="DX5">
        <v>17.2</v>
      </c>
      <c r="DY5">
        <v>5.2</v>
      </c>
      <c r="DZ5">
        <v>0</v>
      </c>
      <c r="EA5">
        <v>17</v>
      </c>
      <c r="EB5">
        <v>1</v>
      </c>
      <c r="EC5">
        <v>2.6</v>
      </c>
      <c r="ED5">
        <v>1.3</v>
      </c>
      <c r="EE5">
        <v>0</v>
      </c>
      <c r="EF5">
        <v>2.6</v>
      </c>
      <c r="EG5">
        <v>1</v>
      </c>
      <c r="EH5">
        <v>178</v>
      </c>
      <c r="EI5" s="62">
        <v>0.30898876404494402</v>
      </c>
      <c r="EJ5">
        <v>55</v>
      </c>
      <c r="EK5">
        <v>0</v>
      </c>
      <c r="EL5">
        <f t="shared" si="6"/>
        <v>-123</v>
      </c>
      <c r="EM5">
        <v>178</v>
      </c>
      <c r="EN5">
        <v>0</v>
      </c>
      <c r="EO5">
        <v>0</v>
      </c>
      <c r="ER5">
        <v>20</v>
      </c>
      <c r="ES5">
        <v>35</v>
      </c>
      <c r="ET5">
        <v>24</v>
      </c>
      <c r="EU5">
        <v>11</v>
      </c>
      <c r="EV5">
        <v>20</v>
      </c>
      <c r="EW5">
        <v>59</v>
      </c>
      <c r="EX5">
        <v>27</v>
      </c>
      <c r="EY5">
        <v>12</v>
      </c>
      <c r="FB5">
        <v>0</v>
      </c>
      <c r="FC5">
        <v>1</v>
      </c>
      <c r="FD5">
        <v>0</v>
      </c>
      <c r="FF5">
        <v>1</v>
      </c>
      <c r="FG5">
        <v>1</v>
      </c>
      <c r="FH5" s="1">
        <v>44231</v>
      </c>
      <c r="FI5" s="1"/>
      <c r="FJ5" s="1"/>
      <c r="FK5">
        <v>0</v>
      </c>
      <c r="FL5">
        <v>0</v>
      </c>
      <c r="FO5">
        <v>0</v>
      </c>
      <c r="FQ5" s="22">
        <v>44228</v>
      </c>
      <c r="FR5" s="22" t="s">
        <v>230</v>
      </c>
      <c r="FS5" s="15">
        <v>0</v>
      </c>
      <c r="FT5" s="15">
        <v>0</v>
      </c>
      <c r="FU5" s="15">
        <v>1</v>
      </c>
      <c r="FV5" s="15">
        <v>0</v>
      </c>
      <c r="FW5" s="15">
        <v>1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1</v>
      </c>
      <c r="GD5" s="15">
        <v>1</v>
      </c>
      <c r="GE5" s="15">
        <v>0</v>
      </c>
      <c r="GF5" s="15">
        <v>0</v>
      </c>
      <c r="GG5" s="15">
        <v>0</v>
      </c>
      <c r="GH5" s="15">
        <v>0</v>
      </c>
      <c r="GI5" s="15">
        <v>1</v>
      </c>
      <c r="GJ5" s="15">
        <v>0</v>
      </c>
      <c r="GK5" s="15">
        <v>0</v>
      </c>
      <c r="GL5" s="15">
        <v>0</v>
      </c>
      <c r="GM5" s="15">
        <v>1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1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1</v>
      </c>
      <c r="HD5" s="15" t="s">
        <v>232</v>
      </c>
      <c r="HE5" s="15">
        <v>0</v>
      </c>
      <c r="HF5" s="15">
        <v>0</v>
      </c>
      <c r="HG5" s="15">
        <v>0</v>
      </c>
      <c r="HH5" s="15">
        <v>1</v>
      </c>
      <c r="HI5" s="15">
        <v>1</v>
      </c>
      <c r="HJ5" s="15">
        <v>1</v>
      </c>
      <c r="HK5" s="15">
        <v>0</v>
      </c>
      <c r="HL5" s="15">
        <v>1</v>
      </c>
      <c r="HM5" s="15"/>
      <c r="HN5" s="15">
        <v>0</v>
      </c>
      <c r="HO5" s="15">
        <v>1</v>
      </c>
      <c r="HP5" s="15">
        <v>0</v>
      </c>
      <c r="HQ5" s="15">
        <v>0</v>
      </c>
      <c r="HR5" s="15">
        <v>0</v>
      </c>
      <c r="HS5" s="15">
        <v>0</v>
      </c>
      <c r="HT5" s="15">
        <v>1</v>
      </c>
      <c r="HU5" s="15">
        <v>1</v>
      </c>
      <c r="HV5" s="15">
        <v>0</v>
      </c>
      <c r="HW5" s="15">
        <v>1</v>
      </c>
      <c r="HX5" s="15">
        <v>0</v>
      </c>
      <c r="HY5" s="22">
        <v>44232</v>
      </c>
      <c r="HZ5" s="15" t="s">
        <v>231</v>
      </c>
      <c r="IA5" s="15">
        <v>1</v>
      </c>
      <c r="IB5" s="15">
        <v>1</v>
      </c>
      <c r="IC5" s="15">
        <v>1</v>
      </c>
      <c r="ID5" s="15">
        <v>0</v>
      </c>
      <c r="IE5" s="15">
        <v>1</v>
      </c>
      <c r="IF5" s="15">
        <v>0</v>
      </c>
      <c r="IG5" s="15">
        <v>0</v>
      </c>
      <c r="IH5" s="15">
        <v>0</v>
      </c>
      <c r="II5" s="15">
        <v>0</v>
      </c>
      <c r="IJ5" s="15">
        <v>0</v>
      </c>
      <c r="IK5" s="15">
        <v>0</v>
      </c>
      <c r="IL5" s="15">
        <v>1</v>
      </c>
      <c r="IM5" s="15">
        <v>0</v>
      </c>
      <c r="IN5" s="15">
        <v>0</v>
      </c>
      <c r="IO5" s="15">
        <v>0</v>
      </c>
      <c r="IP5" s="15">
        <v>0</v>
      </c>
      <c r="IQ5" s="15">
        <v>1</v>
      </c>
      <c r="IR5" s="15">
        <v>0</v>
      </c>
      <c r="IS5" s="15">
        <v>0</v>
      </c>
      <c r="IT5" s="15">
        <v>0</v>
      </c>
      <c r="IU5" s="15">
        <v>1</v>
      </c>
      <c r="IV5" s="15">
        <v>0</v>
      </c>
      <c r="IW5" s="15">
        <v>0</v>
      </c>
      <c r="IX5" s="15">
        <v>0</v>
      </c>
      <c r="IY5" s="15">
        <v>0</v>
      </c>
      <c r="IZ5" s="15">
        <v>0</v>
      </c>
      <c r="JA5" s="15">
        <v>0</v>
      </c>
      <c r="JB5" s="15">
        <v>0</v>
      </c>
      <c r="JC5" s="15">
        <v>1</v>
      </c>
      <c r="JD5" s="15">
        <v>0</v>
      </c>
      <c r="JE5" s="15">
        <v>0</v>
      </c>
      <c r="JF5" s="15">
        <v>0</v>
      </c>
      <c r="JG5" s="15">
        <v>0</v>
      </c>
      <c r="JH5" s="15">
        <v>0</v>
      </c>
      <c r="JI5" s="15">
        <v>0</v>
      </c>
      <c r="JJ5" s="15">
        <v>0</v>
      </c>
      <c r="JK5" s="15">
        <v>1</v>
      </c>
      <c r="JL5" s="15" t="s">
        <v>232</v>
      </c>
      <c r="JM5" s="15">
        <v>0</v>
      </c>
      <c r="JN5" s="15">
        <v>0</v>
      </c>
      <c r="JO5" s="15">
        <v>0</v>
      </c>
      <c r="JP5" s="15">
        <v>0</v>
      </c>
      <c r="JQ5" s="15">
        <v>1</v>
      </c>
      <c r="JR5" s="15">
        <v>0</v>
      </c>
      <c r="JS5" s="15">
        <v>0</v>
      </c>
      <c r="JT5" s="15">
        <v>1</v>
      </c>
      <c r="JU5" s="15">
        <v>0</v>
      </c>
      <c r="JV5" s="15">
        <v>0</v>
      </c>
      <c r="JW5" s="15">
        <v>1</v>
      </c>
      <c r="JX5" s="15">
        <v>0</v>
      </c>
      <c r="JY5" s="15">
        <v>0</v>
      </c>
      <c r="JZ5" s="15">
        <v>0</v>
      </c>
      <c r="KA5" s="15">
        <v>0</v>
      </c>
      <c r="KB5" s="15">
        <v>1</v>
      </c>
      <c r="KC5" s="15">
        <v>1</v>
      </c>
      <c r="KD5" s="15">
        <v>0</v>
      </c>
      <c r="KE5" s="15">
        <v>1</v>
      </c>
      <c r="KF5" s="15">
        <v>0</v>
      </c>
      <c r="KI5">
        <v>1</v>
      </c>
      <c r="KJ5">
        <v>1</v>
      </c>
      <c r="KK5">
        <v>1</v>
      </c>
      <c r="KL5">
        <v>0</v>
      </c>
      <c r="KM5">
        <v>1</v>
      </c>
      <c r="KN5">
        <v>0</v>
      </c>
      <c r="KO5">
        <v>0</v>
      </c>
      <c r="KP5">
        <v>0</v>
      </c>
      <c r="KQ5">
        <v>0</v>
      </c>
      <c r="KR5">
        <v>0</v>
      </c>
      <c r="KS5">
        <v>1</v>
      </c>
      <c r="KT5">
        <v>1</v>
      </c>
      <c r="KU5">
        <v>0</v>
      </c>
      <c r="KV5">
        <v>0</v>
      </c>
      <c r="KW5">
        <v>0</v>
      </c>
      <c r="KX5">
        <v>0</v>
      </c>
      <c r="KY5">
        <v>1</v>
      </c>
      <c r="KZ5">
        <v>0</v>
      </c>
      <c r="LA5">
        <v>0</v>
      </c>
      <c r="LB5">
        <v>0</v>
      </c>
      <c r="LC5">
        <v>1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1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1</v>
      </c>
      <c r="LU5">
        <v>0</v>
      </c>
      <c r="LV5">
        <v>0</v>
      </c>
      <c r="LW5">
        <v>0</v>
      </c>
      <c r="LX5">
        <v>1</v>
      </c>
      <c r="LY5">
        <v>1</v>
      </c>
      <c r="LZ5">
        <v>1</v>
      </c>
      <c r="MA5">
        <v>0</v>
      </c>
      <c r="MB5">
        <v>1</v>
      </c>
      <c r="MC5">
        <v>0</v>
      </c>
      <c r="MD5">
        <v>0</v>
      </c>
      <c r="ME5">
        <v>1</v>
      </c>
      <c r="MF5">
        <v>0</v>
      </c>
      <c r="MG5">
        <v>0</v>
      </c>
      <c r="MH5">
        <v>0</v>
      </c>
      <c r="MI5">
        <v>0</v>
      </c>
      <c r="MJ5">
        <v>1</v>
      </c>
      <c r="MK5">
        <v>1</v>
      </c>
      <c r="ML5">
        <v>0</v>
      </c>
      <c r="MM5">
        <v>1</v>
      </c>
      <c r="MN5">
        <v>0</v>
      </c>
      <c r="MO5">
        <v>1</v>
      </c>
      <c r="MP5">
        <v>0</v>
      </c>
      <c r="MQ5">
        <v>1</v>
      </c>
      <c r="MR5">
        <v>1</v>
      </c>
      <c r="MS5">
        <v>0</v>
      </c>
      <c r="MT5">
        <v>0</v>
      </c>
    </row>
    <row r="6" spans="1:359" ht="18" x14ac:dyDescent="0.25">
      <c r="A6" t="s">
        <v>398</v>
      </c>
      <c r="B6" s="3">
        <v>77</v>
      </c>
      <c r="C6" s="3">
        <v>0</v>
      </c>
      <c r="D6" s="3">
        <v>1</v>
      </c>
      <c r="E6" s="26">
        <v>44582</v>
      </c>
      <c r="F6" s="61">
        <v>1</v>
      </c>
      <c r="G6" s="61"/>
      <c r="H6" s="57">
        <v>0</v>
      </c>
      <c r="I6" s="57"/>
      <c r="J6" s="57"/>
      <c r="K6" s="2">
        <v>44582</v>
      </c>
      <c r="L6" s="64">
        <v>1</v>
      </c>
      <c r="M6" s="2">
        <v>44276</v>
      </c>
      <c r="N6" s="3">
        <v>0</v>
      </c>
      <c r="O6" s="2">
        <v>45063</v>
      </c>
      <c r="P6" s="64">
        <f t="shared" si="0"/>
        <v>482</v>
      </c>
      <c r="Q6">
        <v>1</v>
      </c>
      <c r="R6">
        <v>1</v>
      </c>
      <c r="S6">
        <v>1</v>
      </c>
      <c r="T6">
        <v>75</v>
      </c>
      <c r="U6">
        <v>0</v>
      </c>
      <c r="V6">
        <v>1</v>
      </c>
      <c r="W6">
        <v>0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73</v>
      </c>
      <c r="AO6">
        <v>165</v>
      </c>
      <c r="AP6">
        <v>26.8</v>
      </c>
      <c r="AQ6">
        <v>36.5</v>
      </c>
      <c r="AR6">
        <v>147</v>
      </c>
      <c r="AS6">
        <v>83</v>
      </c>
      <c r="AT6">
        <v>3</v>
      </c>
      <c r="AU6">
        <v>1</v>
      </c>
      <c r="AV6">
        <v>54</v>
      </c>
      <c r="AW6" s="1">
        <v>44581</v>
      </c>
      <c r="AX6" s="1">
        <v>44581</v>
      </c>
      <c r="AY6">
        <v>0</v>
      </c>
      <c r="AZ6" s="1">
        <v>44581</v>
      </c>
      <c r="BA6">
        <v>1</v>
      </c>
      <c r="BB6">
        <v>1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I6">
        <v>1</v>
      </c>
      <c r="BJ6">
        <v>0</v>
      </c>
      <c r="BK6">
        <v>0</v>
      </c>
      <c r="BL6">
        <v>0</v>
      </c>
      <c r="BM6" s="66">
        <v>0</v>
      </c>
      <c r="BN6">
        <v>1</v>
      </c>
      <c r="BO6">
        <v>0</v>
      </c>
      <c r="BP6" s="66">
        <f t="shared" si="1"/>
        <v>1</v>
      </c>
      <c r="BQ6">
        <v>0</v>
      </c>
      <c r="BR6">
        <v>0</v>
      </c>
      <c r="BS6">
        <v>3</v>
      </c>
      <c r="BT6">
        <v>0</v>
      </c>
      <c r="BU6" s="66">
        <f t="shared" si="2"/>
        <v>0</v>
      </c>
      <c r="BV6">
        <v>1</v>
      </c>
      <c r="BW6">
        <v>0</v>
      </c>
      <c r="BX6" s="66">
        <f t="shared" si="3"/>
        <v>4</v>
      </c>
      <c r="BY6">
        <v>1</v>
      </c>
      <c r="BZ6">
        <v>1</v>
      </c>
      <c r="CA6">
        <v>1</v>
      </c>
      <c r="CB6">
        <v>1</v>
      </c>
      <c r="CC6">
        <v>4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f t="shared" ref="CO6:CO65" si="7">CN6+CM6+CL6+CK6+CJ6+CI6+CH6+CG6+CF6+CE6</f>
        <v>0</v>
      </c>
      <c r="CP6">
        <v>1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1</v>
      </c>
      <c r="CY6">
        <v>0</v>
      </c>
      <c r="DA6" s="1">
        <v>44582</v>
      </c>
      <c r="DB6" s="66">
        <f t="shared" si="5"/>
        <v>1</v>
      </c>
      <c r="DC6" t="s">
        <v>3</v>
      </c>
      <c r="DD6">
        <v>1</v>
      </c>
      <c r="DE6" s="1">
        <v>44583</v>
      </c>
      <c r="DF6">
        <v>2</v>
      </c>
      <c r="DG6" s="1">
        <v>44584</v>
      </c>
      <c r="DH6">
        <v>12</v>
      </c>
      <c r="DI6">
        <v>13</v>
      </c>
      <c r="DJ6">
        <v>1.6</v>
      </c>
      <c r="DK6" s="66">
        <v>198</v>
      </c>
      <c r="DL6">
        <v>5</v>
      </c>
      <c r="DM6">
        <v>84</v>
      </c>
      <c r="DO6">
        <v>8</v>
      </c>
      <c r="DP6">
        <v>198</v>
      </c>
      <c r="DR6">
        <v>121</v>
      </c>
      <c r="DS6">
        <v>9.4</v>
      </c>
      <c r="DU6">
        <v>172</v>
      </c>
      <c r="DV6">
        <v>18</v>
      </c>
      <c r="DW6" s="1">
        <v>44581</v>
      </c>
      <c r="DX6">
        <v>16</v>
      </c>
      <c r="DY6">
        <v>18</v>
      </c>
      <c r="DZ6">
        <v>1</v>
      </c>
      <c r="EA6">
        <v>29.4</v>
      </c>
      <c r="EB6">
        <v>1</v>
      </c>
      <c r="EC6">
        <v>9.1</v>
      </c>
      <c r="ED6">
        <v>1.17</v>
      </c>
      <c r="EE6">
        <v>0</v>
      </c>
      <c r="EF6">
        <v>9.1</v>
      </c>
      <c r="EG6">
        <v>1</v>
      </c>
      <c r="EH6">
        <v>100</v>
      </c>
      <c r="EI6" s="62">
        <v>1.67</v>
      </c>
      <c r="EJ6">
        <v>167</v>
      </c>
      <c r="EK6">
        <v>0</v>
      </c>
      <c r="EL6">
        <f t="shared" si="6"/>
        <v>67</v>
      </c>
      <c r="EM6">
        <v>167</v>
      </c>
      <c r="EN6">
        <v>0</v>
      </c>
      <c r="EO6">
        <v>0.47</v>
      </c>
      <c r="ER6">
        <v>16</v>
      </c>
      <c r="ES6">
        <v>70</v>
      </c>
      <c r="ET6">
        <v>34</v>
      </c>
      <c r="EU6">
        <v>16</v>
      </c>
      <c r="EV6">
        <v>43</v>
      </c>
      <c r="EW6">
        <v>90</v>
      </c>
      <c r="EX6">
        <v>6</v>
      </c>
      <c r="EY6">
        <v>4</v>
      </c>
      <c r="FA6">
        <v>7.32</v>
      </c>
      <c r="FB6">
        <v>1</v>
      </c>
      <c r="FC6">
        <v>1</v>
      </c>
      <c r="FD6">
        <v>0</v>
      </c>
      <c r="FF6">
        <v>1</v>
      </c>
      <c r="FG6">
        <v>0</v>
      </c>
      <c r="FI6"/>
      <c r="FK6">
        <v>0</v>
      </c>
      <c r="FL6">
        <v>0</v>
      </c>
      <c r="FO6">
        <v>0</v>
      </c>
      <c r="FQ6" s="22">
        <v>44581</v>
      </c>
      <c r="FR6" s="22" t="s">
        <v>230</v>
      </c>
      <c r="FS6" s="15">
        <v>1</v>
      </c>
      <c r="FT6" s="15">
        <v>1</v>
      </c>
      <c r="FU6" s="15">
        <v>1</v>
      </c>
      <c r="FV6" s="15">
        <v>0</v>
      </c>
      <c r="FW6" s="15">
        <v>1</v>
      </c>
      <c r="FX6" s="15">
        <v>1</v>
      </c>
      <c r="FY6" s="15">
        <v>1</v>
      </c>
      <c r="FZ6" s="15">
        <v>1</v>
      </c>
      <c r="GA6" s="15">
        <v>1</v>
      </c>
      <c r="GB6" s="15">
        <v>0</v>
      </c>
      <c r="GC6" s="15">
        <v>1</v>
      </c>
      <c r="GD6" s="15">
        <v>1</v>
      </c>
      <c r="GE6" s="15">
        <v>1</v>
      </c>
      <c r="GF6" s="15">
        <v>0</v>
      </c>
      <c r="GG6" s="15">
        <v>0</v>
      </c>
      <c r="GH6" s="15">
        <v>0</v>
      </c>
      <c r="GI6" s="15">
        <v>1</v>
      </c>
      <c r="GJ6" s="15">
        <v>0</v>
      </c>
      <c r="GK6" s="15">
        <v>0</v>
      </c>
      <c r="GL6" s="15">
        <v>0</v>
      </c>
      <c r="GM6" s="15">
        <v>1</v>
      </c>
      <c r="GN6" s="15">
        <v>0</v>
      </c>
      <c r="GO6" s="15">
        <v>1</v>
      </c>
      <c r="GP6" s="15">
        <v>1</v>
      </c>
      <c r="GQ6" s="15">
        <v>0</v>
      </c>
      <c r="GR6" s="15">
        <v>0</v>
      </c>
      <c r="GS6" s="15">
        <v>1</v>
      </c>
      <c r="GT6" s="15">
        <v>0</v>
      </c>
      <c r="GU6" s="15">
        <v>1</v>
      </c>
      <c r="GV6" s="15">
        <v>1</v>
      </c>
      <c r="GW6" s="15">
        <v>0</v>
      </c>
      <c r="GX6" s="15" t="s">
        <v>232</v>
      </c>
      <c r="GY6" s="15">
        <v>0</v>
      </c>
      <c r="GZ6" s="15">
        <v>0</v>
      </c>
      <c r="HA6" s="15">
        <v>0</v>
      </c>
      <c r="HB6" s="15">
        <v>1</v>
      </c>
      <c r="HC6" s="15">
        <v>1</v>
      </c>
      <c r="HD6" s="15" t="s">
        <v>232</v>
      </c>
      <c r="HE6" s="15">
        <v>0</v>
      </c>
      <c r="HF6" s="15">
        <v>0</v>
      </c>
      <c r="HG6" s="15">
        <v>0</v>
      </c>
      <c r="HH6" s="15">
        <v>1</v>
      </c>
      <c r="HI6" s="15">
        <v>1</v>
      </c>
      <c r="HJ6" s="15">
        <v>1</v>
      </c>
      <c r="HK6" s="15">
        <v>0</v>
      </c>
      <c r="HL6" s="15">
        <v>1</v>
      </c>
      <c r="HM6" s="15">
        <v>0</v>
      </c>
      <c r="HN6" s="15">
        <v>1</v>
      </c>
      <c r="HO6" s="15">
        <v>1</v>
      </c>
      <c r="HP6" s="15">
        <v>0</v>
      </c>
      <c r="HQ6" s="15">
        <v>0</v>
      </c>
      <c r="HR6" s="15">
        <v>0</v>
      </c>
      <c r="HS6" s="15">
        <v>0</v>
      </c>
      <c r="HT6" s="15">
        <v>1</v>
      </c>
      <c r="HU6" s="15">
        <v>1</v>
      </c>
      <c r="HV6" s="15">
        <v>0</v>
      </c>
      <c r="HW6" s="15">
        <v>0</v>
      </c>
      <c r="HX6" s="15">
        <v>0</v>
      </c>
      <c r="HY6" s="22">
        <v>44582</v>
      </c>
      <c r="HZ6" s="15" t="s">
        <v>231</v>
      </c>
      <c r="IA6" s="15">
        <v>1</v>
      </c>
      <c r="IB6" s="15">
        <v>1</v>
      </c>
      <c r="IC6" s="15">
        <v>1</v>
      </c>
      <c r="ID6" s="15">
        <v>0</v>
      </c>
      <c r="IE6" s="15">
        <v>1</v>
      </c>
      <c r="IF6" s="15">
        <v>1</v>
      </c>
      <c r="IG6" s="15">
        <v>1</v>
      </c>
      <c r="IH6" s="15">
        <v>1</v>
      </c>
      <c r="II6" s="15">
        <v>1</v>
      </c>
      <c r="IJ6" s="15">
        <v>0</v>
      </c>
      <c r="IK6" s="15">
        <v>1</v>
      </c>
      <c r="IL6" s="15">
        <v>1</v>
      </c>
      <c r="IM6" s="15">
        <v>1</v>
      </c>
      <c r="IN6" s="15">
        <v>0</v>
      </c>
      <c r="IO6" s="15">
        <v>0</v>
      </c>
      <c r="IP6" s="15">
        <v>0</v>
      </c>
      <c r="IQ6" s="15">
        <v>1</v>
      </c>
      <c r="IR6" s="15">
        <v>0</v>
      </c>
      <c r="IS6" s="15">
        <v>0</v>
      </c>
      <c r="IT6" s="15">
        <v>0</v>
      </c>
      <c r="IU6" s="15">
        <v>1</v>
      </c>
      <c r="IV6" s="15">
        <v>0</v>
      </c>
      <c r="IW6" s="15">
        <v>1</v>
      </c>
      <c r="IX6" s="15">
        <v>1</v>
      </c>
      <c r="IY6" s="15">
        <v>0</v>
      </c>
      <c r="IZ6" s="15">
        <v>0</v>
      </c>
      <c r="JA6" s="15">
        <v>1</v>
      </c>
      <c r="JB6" s="15">
        <v>0</v>
      </c>
      <c r="JC6" s="15">
        <v>1</v>
      </c>
      <c r="JD6" s="15">
        <v>1</v>
      </c>
      <c r="JE6" s="15">
        <v>0</v>
      </c>
      <c r="JF6" s="23" t="s">
        <v>232</v>
      </c>
      <c r="JG6" s="15">
        <v>0</v>
      </c>
      <c r="JH6" s="15">
        <v>0</v>
      </c>
      <c r="JI6" s="15">
        <v>0</v>
      </c>
      <c r="JJ6" s="15">
        <v>1</v>
      </c>
      <c r="JK6" s="15">
        <v>1</v>
      </c>
      <c r="JL6" s="15" t="s">
        <v>232</v>
      </c>
      <c r="JM6" s="15">
        <v>0</v>
      </c>
      <c r="JN6" s="15">
        <v>0</v>
      </c>
      <c r="JO6" s="15">
        <v>0</v>
      </c>
      <c r="JP6" s="15">
        <v>1</v>
      </c>
      <c r="JQ6" s="15">
        <v>1</v>
      </c>
      <c r="JR6" s="15">
        <v>1</v>
      </c>
      <c r="JS6" s="15">
        <v>0</v>
      </c>
      <c r="JT6" s="15">
        <v>1</v>
      </c>
      <c r="JU6" s="15">
        <v>0</v>
      </c>
      <c r="JV6" s="15">
        <v>1</v>
      </c>
      <c r="JW6" s="15">
        <v>1</v>
      </c>
      <c r="JX6" s="15">
        <v>0</v>
      </c>
      <c r="JY6" s="15">
        <v>0</v>
      </c>
      <c r="JZ6" s="15">
        <v>0</v>
      </c>
      <c r="KA6" s="15">
        <v>0</v>
      </c>
      <c r="KB6" s="15">
        <v>1</v>
      </c>
      <c r="KC6" s="15">
        <v>1</v>
      </c>
      <c r="KD6" s="15">
        <v>0</v>
      </c>
      <c r="KE6" s="15">
        <v>0</v>
      </c>
      <c r="KF6" s="15">
        <v>0</v>
      </c>
      <c r="KI6">
        <v>1</v>
      </c>
      <c r="KJ6">
        <v>1</v>
      </c>
      <c r="KK6">
        <v>1</v>
      </c>
      <c r="KL6">
        <v>0</v>
      </c>
      <c r="KM6">
        <v>1</v>
      </c>
      <c r="KN6">
        <v>1</v>
      </c>
      <c r="KO6">
        <v>1</v>
      </c>
      <c r="KP6">
        <v>1</v>
      </c>
      <c r="KQ6">
        <v>1</v>
      </c>
      <c r="KR6">
        <v>0</v>
      </c>
      <c r="KS6">
        <v>1</v>
      </c>
      <c r="KT6">
        <v>1</v>
      </c>
      <c r="KU6">
        <v>1</v>
      </c>
      <c r="KV6">
        <v>0</v>
      </c>
      <c r="KW6">
        <v>0</v>
      </c>
      <c r="KX6">
        <v>0</v>
      </c>
      <c r="KY6">
        <v>1</v>
      </c>
      <c r="KZ6">
        <v>0</v>
      </c>
      <c r="LA6">
        <v>0</v>
      </c>
      <c r="LB6">
        <v>0</v>
      </c>
      <c r="LC6">
        <v>1</v>
      </c>
      <c r="LD6">
        <v>0</v>
      </c>
      <c r="LE6">
        <v>1</v>
      </c>
      <c r="LF6">
        <v>1</v>
      </c>
      <c r="LG6">
        <v>0</v>
      </c>
      <c r="LH6">
        <v>0</v>
      </c>
      <c r="LI6">
        <v>1</v>
      </c>
      <c r="LJ6">
        <v>0</v>
      </c>
      <c r="LK6">
        <v>1</v>
      </c>
      <c r="LL6">
        <v>1</v>
      </c>
      <c r="LM6">
        <v>0</v>
      </c>
      <c r="LO6">
        <v>0</v>
      </c>
      <c r="LP6">
        <v>0</v>
      </c>
      <c r="LQ6">
        <v>0</v>
      </c>
      <c r="LR6">
        <v>1</v>
      </c>
      <c r="LS6">
        <v>1</v>
      </c>
      <c r="LU6">
        <v>0</v>
      </c>
      <c r="LV6">
        <v>0</v>
      </c>
      <c r="LW6">
        <v>0</v>
      </c>
      <c r="LX6">
        <v>1</v>
      </c>
      <c r="LY6">
        <v>1</v>
      </c>
      <c r="LZ6">
        <v>1</v>
      </c>
      <c r="MA6">
        <v>0</v>
      </c>
      <c r="MB6">
        <v>1</v>
      </c>
      <c r="MC6">
        <v>0</v>
      </c>
      <c r="MD6">
        <v>1</v>
      </c>
      <c r="ME6">
        <v>1</v>
      </c>
      <c r="MF6">
        <v>0</v>
      </c>
      <c r="MG6">
        <v>0</v>
      </c>
      <c r="MH6">
        <v>0</v>
      </c>
      <c r="MI6">
        <v>0</v>
      </c>
      <c r="MJ6">
        <v>1</v>
      </c>
      <c r="MK6">
        <v>1</v>
      </c>
      <c r="ML6">
        <v>0</v>
      </c>
      <c r="MM6">
        <v>0</v>
      </c>
      <c r="MN6">
        <v>0</v>
      </c>
      <c r="MO6">
        <v>1</v>
      </c>
      <c r="MP6">
        <v>0</v>
      </c>
      <c r="MQ6">
        <v>1</v>
      </c>
      <c r="MR6">
        <v>1</v>
      </c>
      <c r="MS6">
        <v>1</v>
      </c>
      <c r="MT6">
        <v>1</v>
      </c>
    </row>
    <row r="7" spans="1:359" s="31" customFormat="1" ht="18" x14ac:dyDescent="0.25">
      <c r="A7" t="s">
        <v>399</v>
      </c>
      <c r="B7" s="32">
        <v>72</v>
      </c>
      <c r="C7" s="32">
        <v>1</v>
      </c>
      <c r="D7" s="32">
        <v>0</v>
      </c>
      <c r="E7" s="32"/>
      <c r="F7" s="55">
        <v>259</v>
      </c>
      <c r="G7" s="55"/>
      <c r="H7" s="57">
        <v>0</v>
      </c>
      <c r="I7" s="57">
        <v>0</v>
      </c>
      <c r="J7" s="57"/>
      <c r="K7" s="32"/>
      <c r="L7" s="32"/>
      <c r="M7" s="32"/>
      <c r="N7" s="32">
        <v>0</v>
      </c>
      <c r="O7" s="33">
        <v>43307</v>
      </c>
      <c r="P7" s="64">
        <f t="shared" si="0"/>
        <v>259</v>
      </c>
      <c r="Q7" s="31">
        <v>1</v>
      </c>
      <c r="R7" s="31">
        <v>1</v>
      </c>
      <c r="S7" s="31">
        <v>0</v>
      </c>
      <c r="T7" s="31">
        <v>95</v>
      </c>
      <c r="U7" s="31">
        <v>0</v>
      </c>
      <c r="V7" s="31">
        <v>1</v>
      </c>
      <c r="W7" s="31">
        <v>0</v>
      </c>
      <c r="X7" s="31">
        <v>0</v>
      </c>
      <c r="Y7" s="31">
        <v>1</v>
      </c>
      <c r="Z7" s="31">
        <v>0</v>
      </c>
      <c r="AA7" s="31">
        <v>1</v>
      </c>
      <c r="AB7" s="31">
        <v>0</v>
      </c>
      <c r="AC7" s="31">
        <v>0</v>
      </c>
      <c r="AD7" s="31">
        <v>0</v>
      </c>
      <c r="AE7" s="31">
        <v>0</v>
      </c>
      <c r="AF7" s="31">
        <v>1</v>
      </c>
      <c r="AG7" s="31">
        <v>0</v>
      </c>
      <c r="AH7" s="31">
        <v>0</v>
      </c>
      <c r="AI7" s="31">
        <v>0</v>
      </c>
      <c r="AJ7" s="31">
        <v>0</v>
      </c>
      <c r="AK7" s="31">
        <v>0</v>
      </c>
      <c r="AL7" s="31">
        <v>0</v>
      </c>
      <c r="AM7" s="31">
        <v>0</v>
      </c>
      <c r="AN7" s="31">
        <v>94</v>
      </c>
      <c r="AQ7" s="31">
        <v>36.9</v>
      </c>
      <c r="AR7" s="31">
        <v>154</v>
      </c>
      <c r="AS7" s="31">
        <v>94</v>
      </c>
      <c r="AV7" s="31">
        <v>80</v>
      </c>
      <c r="AW7" s="34">
        <v>43047</v>
      </c>
      <c r="AX7" s="34">
        <v>43048</v>
      </c>
      <c r="AY7" s="31">
        <v>0</v>
      </c>
      <c r="AZ7" s="34">
        <v>43045</v>
      </c>
      <c r="BA7" s="31">
        <v>1</v>
      </c>
      <c r="BB7" s="31">
        <v>0</v>
      </c>
      <c r="BC7" s="31">
        <v>0</v>
      </c>
      <c r="BD7" s="31">
        <v>1</v>
      </c>
      <c r="BE7" s="31">
        <v>0</v>
      </c>
      <c r="BF7" s="31">
        <v>1</v>
      </c>
      <c r="BG7" s="31">
        <v>0</v>
      </c>
      <c r="BH7" s="31">
        <v>1</v>
      </c>
      <c r="BI7" s="31">
        <v>0</v>
      </c>
      <c r="BJ7" s="78">
        <v>0</v>
      </c>
      <c r="BK7" s="78">
        <v>2</v>
      </c>
      <c r="BL7" s="78">
        <v>2</v>
      </c>
      <c r="BM7" s="66">
        <v>0</v>
      </c>
      <c r="BN7" s="78">
        <v>0</v>
      </c>
      <c r="BO7" s="78">
        <v>2</v>
      </c>
      <c r="BP7" s="78">
        <v>6</v>
      </c>
      <c r="BQ7" s="78">
        <v>1</v>
      </c>
      <c r="BR7" s="78">
        <v>2</v>
      </c>
      <c r="BS7" s="78">
        <v>0</v>
      </c>
      <c r="BT7" s="78">
        <v>2</v>
      </c>
      <c r="BU7" s="78">
        <v>1</v>
      </c>
      <c r="BV7" s="78">
        <v>1</v>
      </c>
      <c r="BW7" s="78">
        <v>2</v>
      </c>
      <c r="BX7" s="66">
        <f t="shared" si="3"/>
        <v>8</v>
      </c>
      <c r="BY7" s="78">
        <v>1</v>
      </c>
      <c r="BZ7">
        <v>1</v>
      </c>
      <c r="CA7" s="31">
        <v>1</v>
      </c>
      <c r="CB7" s="31">
        <v>1</v>
      </c>
      <c r="CC7" s="31">
        <v>1</v>
      </c>
      <c r="CD7" s="31">
        <v>1</v>
      </c>
      <c r="CE7" s="31">
        <v>0</v>
      </c>
      <c r="CF7" s="31">
        <v>0</v>
      </c>
      <c r="CG7" s="31">
        <v>0</v>
      </c>
      <c r="CH7" s="31">
        <v>0</v>
      </c>
      <c r="CI7" s="31">
        <v>0</v>
      </c>
      <c r="CJ7" s="31">
        <v>0</v>
      </c>
      <c r="CK7" s="31">
        <v>0</v>
      </c>
      <c r="CL7" s="31">
        <v>0</v>
      </c>
      <c r="CM7" s="31">
        <v>0</v>
      </c>
      <c r="CN7" s="31">
        <v>0</v>
      </c>
      <c r="CO7">
        <f t="shared" si="7"/>
        <v>0</v>
      </c>
      <c r="CP7" s="31">
        <v>0</v>
      </c>
      <c r="CQ7" s="31">
        <v>0</v>
      </c>
      <c r="CR7" s="31">
        <v>1</v>
      </c>
      <c r="CS7" s="31">
        <v>0</v>
      </c>
      <c r="CT7" s="31">
        <v>0</v>
      </c>
      <c r="CU7" s="31">
        <v>0</v>
      </c>
      <c r="CV7" s="31">
        <v>0</v>
      </c>
      <c r="DB7" s="66"/>
      <c r="DD7" s="31">
        <v>1</v>
      </c>
      <c r="DH7" s="31">
        <v>12.4</v>
      </c>
      <c r="DK7" s="79">
        <v>197</v>
      </c>
      <c r="DM7" s="31">
        <v>57</v>
      </c>
      <c r="DR7" s="31">
        <v>66</v>
      </c>
      <c r="DS7" s="31">
        <v>13</v>
      </c>
      <c r="DW7" s="34">
        <v>43047</v>
      </c>
      <c r="DX7" s="31">
        <v>16.5</v>
      </c>
      <c r="DY7" s="38">
        <v>18.3</v>
      </c>
      <c r="DZ7">
        <v>1</v>
      </c>
      <c r="EA7" s="31">
        <v>22.3</v>
      </c>
      <c r="EB7">
        <v>1</v>
      </c>
      <c r="EC7" s="31">
        <v>2.4500000000000002</v>
      </c>
      <c r="ED7" s="31">
        <v>1.3</v>
      </c>
      <c r="EE7">
        <v>0</v>
      </c>
      <c r="EF7" s="31">
        <v>2.6</v>
      </c>
      <c r="EG7">
        <v>1</v>
      </c>
      <c r="EH7" s="31">
        <v>160</v>
      </c>
      <c r="EI7" s="62">
        <v>1.0625</v>
      </c>
      <c r="EJ7" s="38">
        <v>170</v>
      </c>
      <c r="EK7">
        <v>0</v>
      </c>
      <c r="EL7">
        <f t="shared" si="6"/>
        <v>10</v>
      </c>
      <c r="EM7" s="31">
        <v>171</v>
      </c>
      <c r="EN7">
        <v>0</v>
      </c>
      <c r="EO7" s="31">
        <v>0.4</v>
      </c>
      <c r="ER7" s="31">
        <v>24</v>
      </c>
      <c r="ET7" s="31">
        <v>35</v>
      </c>
      <c r="EU7" s="31">
        <v>9</v>
      </c>
      <c r="EV7" s="31">
        <v>233</v>
      </c>
      <c r="EW7" s="31">
        <v>122</v>
      </c>
      <c r="EX7" s="31">
        <v>71</v>
      </c>
      <c r="EY7" s="31">
        <v>47</v>
      </c>
      <c r="FA7" s="31">
        <v>7.54</v>
      </c>
      <c r="FC7" s="31">
        <v>1</v>
      </c>
      <c r="FD7" s="31">
        <v>0</v>
      </c>
      <c r="FF7" s="31">
        <v>1</v>
      </c>
      <c r="FG7">
        <v>1</v>
      </c>
      <c r="FH7" s="34">
        <v>43048</v>
      </c>
      <c r="FI7" s="34"/>
      <c r="FJ7" s="34"/>
      <c r="FK7">
        <v>0</v>
      </c>
      <c r="FL7">
        <v>0</v>
      </c>
      <c r="FM7"/>
      <c r="FN7"/>
      <c r="FO7">
        <v>0</v>
      </c>
      <c r="FQ7" s="35">
        <v>43047</v>
      </c>
      <c r="FR7" s="35" t="s">
        <v>230</v>
      </c>
      <c r="FS7" s="36">
        <v>1</v>
      </c>
      <c r="FT7" s="36">
        <v>0</v>
      </c>
      <c r="FU7" s="36">
        <v>1</v>
      </c>
      <c r="FV7" s="36">
        <v>0</v>
      </c>
      <c r="FW7" s="36">
        <v>1</v>
      </c>
      <c r="FX7" s="36">
        <v>1</v>
      </c>
      <c r="FY7" s="36">
        <v>1</v>
      </c>
      <c r="FZ7" s="36">
        <v>1</v>
      </c>
      <c r="GA7" s="36">
        <v>1</v>
      </c>
      <c r="GB7" s="36">
        <v>1</v>
      </c>
      <c r="GC7" s="36">
        <v>1</v>
      </c>
      <c r="GD7" s="36">
        <v>1</v>
      </c>
      <c r="GE7" s="36">
        <v>1</v>
      </c>
      <c r="GF7" s="36">
        <v>1</v>
      </c>
      <c r="GG7" s="36">
        <v>1</v>
      </c>
      <c r="GH7" s="36">
        <v>1</v>
      </c>
      <c r="GI7" s="36">
        <v>1</v>
      </c>
      <c r="GJ7" s="36">
        <v>0</v>
      </c>
      <c r="GK7" s="36">
        <v>0</v>
      </c>
      <c r="GL7" s="36">
        <v>0</v>
      </c>
      <c r="GM7" s="36">
        <v>1</v>
      </c>
      <c r="GN7" s="36">
        <v>0</v>
      </c>
      <c r="GO7" s="36">
        <v>0</v>
      </c>
      <c r="GP7" s="36">
        <v>0</v>
      </c>
      <c r="GQ7" s="36">
        <v>0</v>
      </c>
      <c r="GR7" s="36">
        <v>0</v>
      </c>
      <c r="GS7" s="36">
        <v>0</v>
      </c>
      <c r="GT7" s="36">
        <v>0</v>
      </c>
      <c r="GU7" s="36">
        <v>0</v>
      </c>
      <c r="GV7" s="36">
        <v>1</v>
      </c>
      <c r="GW7" s="36">
        <v>0</v>
      </c>
      <c r="GX7" s="37" t="s">
        <v>232</v>
      </c>
      <c r="GY7" s="15">
        <v>0</v>
      </c>
      <c r="GZ7" s="15">
        <v>0</v>
      </c>
      <c r="HA7" s="36">
        <v>0</v>
      </c>
      <c r="HB7" s="36">
        <v>0</v>
      </c>
      <c r="HC7" s="36">
        <v>1</v>
      </c>
      <c r="HD7" s="36" t="s">
        <v>232</v>
      </c>
      <c r="HE7" s="15">
        <v>0</v>
      </c>
      <c r="HF7" s="15">
        <v>0</v>
      </c>
      <c r="HG7" s="36">
        <v>0</v>
      </c>
      <c r="HH7" s="36">
        <v>1</v>
      </c>
      <c r="HI7" s="36">
        <v>1</v>
      </c>
      <c r="HJ7" s="36">
        <v>1</v>
      </c>
      <c r="HK7" s="36">
        <v>0</v>
      </c>
      <c r="HL7" s="36">
        <v>1</v>
      </c>
      <c r="HM7" s="36">
        <v>0</v>
      </c>
      <c r="HN7" s="36">
        <v>1</v>
      </c>
      <c r="HO7" s="36">
        <v>1</v>
      </c>
      <c r="HP7" s="36">
        <v>0</v>
      </c>
      <c r="HQ7" s="36">
        <v>0</v>
      </c>
      <c r="HR7" s="36">
        <v>0</v>
      </c>
      <c r="HS7" s="36">
        <v>0</v>
      </c>
      <c r="HT7" s="36">
        <v>1</v>
      </c>
      <c r="HU7" s="36">
        <v>1</v>
      </c>
      <c r="HV7" s="36">
        <v>0</v>
      </c>
      <c r="HW7" s="36">
        <v>1</v>
      </c>
      <c r="HX7" s="36">
        <v>0</v>
      </c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/>
      <c r="KH7"/>
      <c r="KI7">
        <v>1</v>
      </c>
      <c r="KJ7">
        <v>0</v>
      </c>
      <c r="KK7">
        <v>1</v>
      </c>
      <c r="KL7">
        <v>0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0</v>
      </c>
      <c r="LA7">
        <v>0</v>
      </c>
      <c r="LB7">
        <v>0</v>
      </c>
      <c r="LC7">
        <v>1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1</v>
      </c>
      <c r="LM7">
        <v>0</v>
      </c>
      <c r="LN7"/>
      <c r="LO7">
        <v>0</v>
      </c>
      <c r="LP7">
        <v>0</v>
      </c>
      <c r="LQ7">
        <v>0</v>
      </c>
      <c r="LR7">
        <v>0</v>
      </c>
      <c r="LS7">
        <v>1</v>
      </c>
      <c r="LT7"/>
      <c r="LU7">
        <v>0</v>
      </c>
      <c r="LV7">
        <v>0</v>
      </c>
      <c r="LW7">
        <v>0</v>
      </c>
      <c r="LX7">
        <v>1</v>
      </c>
      <c r="LY7">
        <v>1</v>
      </c>
      <c r="LZ7">
        <v>1</v>
      </c>
      <c r="MA7">
        <v>0</v>
      </c>
      <c r="MB7">
        <v>1</v>
      </c>
      <c r="MC7">
        <v>0</v>
      </c>
      <c r="MD7">
        <v>1</v>
      </c>
      <c r="ME7">
        <v>1</v>
      </c>
      <c r="MF7">
        <v>0</v>
      </c>
      <c r="MG7">
        <v>0</v>
      </c>
      <c r="MH7">
        <v>0</v>
      </c>
      <c r="MI7">
        <v>0</v>
      </c>
      <c r="MJ7">
        <v>1</v>
      </c>
      <c r="MK7">
        <v>1</v>
      </c>
      <c r="ML7">
        <v>0</v>
      </c>
      <c r="MM7">
        <v>1</v>
      </c>
      <c r="MN7">
        <v>0</v>
      </c>
      <c r="MO7">
        <v>1</v>
      </c>
      <c r="MP7">
        <v>0</v>
      </c>
      <c r="MQ7">
        <v>1</v>
      </c>
      <c r="MR7">
        <v>1</v>
      </c>
    </row>
    <row r="8" spans="1:359" s="39" customFormat="1" ht="15" customHeight="1" x14ac:dyDescent="0.25">
      <c r="A8" t="s">
        <v>400</v>
      </c>
      <c r="B8" s="40">
        <v>39</v>
      </c>
      <c r="C8" s="40">
        <v>0</v>
      </c>
      <c r="D8" s="40">
        <v>1</v>
      </c>
      <c r="E8" s="41">
        <v>43207</v>
      </c>
      <c r="F8" s="61">
        <v>12</v>
      </c>
      <c r="G8" s="61"/>
      <c r="H8" s="58">
        <v>1</v>
      </c>
      <c r="I8" s="57">
        <v>1</v>
      </c>
      <c r="J8" s="58">
        <v>1</v>
      </c>
      <c r="K8" s="42">
        <v>43207</v>
      </c>
      <c r="L8" s="65">
        <v>1</v>
      </c>
      <c r="M8" s="42">
        <v>43439</v>
      </c>
      <c r="N8" s="40">
        <v>0</v>
      </c>
      <c r="O8" s="42">
        <v>44964</v>
      </c>
      <c r="P8" s="64">
        <f t="shared" si="0"/>
        <v>1769</v>
      </c>
      <c r="Q8" s="39">
        <v>4</v>
      </c>
      <c r="R8" s="39">
        <v>1</v>
      </c>
      <c r="S8" s="39">
        <v>0</v>
      </c>
      <c r="T8" s="39">
        <v>95</v>
      </c>
      <c r="U8" s="39">
        <v>0</v>
      </c>
      <c r="V8" s="39">
        <v>1</v>
      </c>
      <c r="W8" s="39">
        <v>0</v>
      </c>
      <c r="X8" s="39">
        <v>1</v>
      </c>
      <c r="Y8" s="39">
        <v>0</v>
      </c>
      <c r="Z8" s="39">
        <v>1</v>
      </c>
      <c r="AA8" s="39">
        <v>0</v>
      </c>
      <c r="AB8" s="39">
        <v>0</v>
      </c>
      <c r="AC8" s="39">
        <v>0</v>
      </c>
      <c r="AD8" s="39">
        <v>0</v>
      </c>
      <c r="AE8" s="39">
        <v>0</v>
      </c>
      <c r="AF8" s="39">
        <v>0</v>
      </c>
      <c r="AG8" s="39">
        <v>1</v>
      </c>
      <c r="AH8" s="39">
        <v>0</v>
      </c>
      <c r="AI8" s="39">
        <v>0</v>
      </c>
      <c r="AJ8" s="39">
        <v>0</v>
      </c>
      <c r="AK8" s="39">
        <v>0</v>
      </c>
      <c r="AL8" s="39">
        <v>0</v>
      </c>
      <c r="AM8" s="39">
        <v>0</v>
      </c>
      <c r="AN8" s="39">
        <v>114</v>
      </c>
      <c r="AO8" s="39">
        <v>182</v>
      </c>
      <c r="AP8" s="39">
        <v>34.4</v>
      </c>
      <c r="AQ8" s="39">
        <v>36.9</v>
      </c>
      <c r="AR8" s="39">
        <v>113</v>
      </c>
      <c r="AS8" s="39">
        <v>85</v>
      </c>
      <c r="AT8" s="39">
        <v>3</v>
      </c>
      <c r="AU8">
        <v>1</v>
      </c>
      <c r="AV8" s="39">
        <v>123</v>
      </c>
      <c r="AW8" s="43">
        <v>43195</v>
      </c>
      <c r="AX8" s="43">
        <v>43195</v>
      </c>
      <c r="AY8" s="39">
        <v>0</v>
      </c>
      <c r="AZ8" s="43">
        <v>43193</v>
      </c>
      <c r="BA8" s="39">
        <v>1</v>
      </c>
      <c r="BB8" s="39">
        <v>1</v>
      </c>
      <c r="BC8" s="39">
        <v>1</v>
      </c>
      <c r="BD8" s="39">
        <v>0</v>
      </c>
      <c r="BE8" s="39">
        <v>0</v>
      </c>
      <c r="BF8" s="39">
        <v>0</v>
      </c>
      <c r="BG8" s="39">
        <v>0</v>
      </c>
      <c r="BH8" s="39">
        <v>1</v>
      </c>
      <c r="BI8" s="39">
        <v>1</v>
      </c>
      <c r="BJ8">
        <v>0</v>
      </c>
      <c r="BK8">
        <v>0</v>
      </c>
      <c r="BL8">
        <v>0</v>
      </c>
      <c r="BM8" s="66">
        <v>0</v>
      </c>
      <c r="BN8">
        <v>0</v>
      </c>
      <c r="BO8">
        <v>0</v>
      </c>
      <c r="BP8" s="66">
        <f t="shared" ref="BP8:BP15" si="8">BJ8+BK8+BL8+BM8+BN8+BO8</f>
        <v>0</v>
      </c>
      <c r="BQ8">
        <v>0</v>
      </c>
      <c r="BR8">
        <v>0</v>
      </c>
      <c r="BS8">
        <v>0</v>
      </c>
      <c r="BT8">
        <v>0</v>
      </c>
      <c r="BU8" s="66">
        <f t="shared" ref="BU8:BU15" si="9">BM8</f>
        <v>0</v>
      </c>
      <c r="BV8">
        <v>0</v>
      </c>
      <c r="BW8">
        <v>0</v>
      </c>
      <c r="BX8" s="66">
        <f t="shared" si="3"/>
        <v>0</v>
      </c>
      <c r="BY8">
        <v>0</v>
      </c>
      <c r="BZ8">
        <f t="shared" si="4"/>
        <v>0</v>
      </c>
      <c r="CA8" s="39">
        <v>1</v>
      </c>
      <c r="CD8" s="39">
        <v>0</v>
      </c>
      <c r="CE8" s="39">
        <v>0</v>
      </c>
      <c r="CF8" s="39">
        <v>0</v>
      </c>
      <c r="CG8" s="39">
        <v>1</v>
      </c>
      <c r="CH8" s="39">
        <v>0</v>
      </c>
      <c r="CI8" s="39">
        <v>0</v>
      </c>
      <c r="CJ8" s="39">
        <v>0</v>
      </c>
      <c r="CK8" s="39">
        <v>0</v>
      </c>
      <c r="CL8" s="39">
        <v>0</v>
      </c>
      <c r="CM8" s="39">
        <v>0</v>
      </c>
      <c r="CN8" s="39">
        <v>0</v>
      </c>
      <c r="CO8">
        <v>1</v>
      </c>
      <c r="CP8" s="39">
        <v>0</v>
      </c>
      <c r="CQ8" s="39">
        <v>0</v>
      </c>
      <c r="CR8" s="39">
        <v>0</v>
      </c>
      <c r="CS8" s="39">
        <v>0</v>
      </c>
      <c r="CT8" s="39">
        <v>0</v>
      </c>
      <c r="CU8" s="39">
        <v>0</v>
      </c>
      <c r="CV8" s="39">
        <v>0</v>
      </c>
      <c r="CW8" s="31"/>
      <c r="CX8" s="39">
        <v>1</v>
      </c>
      <c r="CY8">
        <v>0</v>
      </c>
      <c r="DA8" s="43">
        <v>43195</v>
      </c>
      <c r="DB8" s="66">
        <f t="shared" si="5"/>
        <v>2</v>
      </c>
      <c r="DC8" s="39" t="s">
        <v>3</v>
      </c>
      <c r="DD8" s="39">
        <v>1</v>
      </c>
      <c r="DE8" s="43">
        <v>43196</v>
      </c>
      <c r="DF8" s="39">
        <v>2</v>
      </c>
      <c r="DG8" s="43">
        <v>43196</v>
      </c>
      <c r="DH8" s="39">
        <v>13</v>
      </c>
      <c r="DI8" s="39">
        <v>8.6</v>
      </c>
      <c r="DJ8" s="39">
        <v>2.2999999999999998</v>
      </c>
      <c r="DK8" s="80">
        <v>328</v>
      </c>
      <c r="DL8" s="39">
        <v>6</v>
      </c>
      <c r="DM8" s="39">
        <v>72</v>
      </c>
      <c r="DO8" s="39">
        <v>2</v>
      </c>
      <c r="DP8" s="39">
        <v>326</v>
      </c>
      <c r="DR8" s="39">
        <v>55</v>
      </c>
      <c r="DS8" s="39">
        <v>5</v>
      </c>
      <c r="DU8" s="39">
        <v>26</v>
      </c>
      <c r="DW8" s="43">
        <v>43195</v>
      </c>
      <c r="DX8" s="39">
        <v>17.5</v>
      </c>
      <c r="DY8" s="39">
        <v>10.5</v>
      </c>
      <c r="DZ8">
        <v>0</v>
      </c>
      <c r="EA8" s="39">
        <v>17.5</v>
      </c>
      <c r="EB8">
        <v>1</v>
      </c>
      <c r="EC8" s="39">
        <v>1.33</v>
      </c>
      <c r="ED8" s="39">
        <v>1.1299999999999999</v>
      </c>
      <c r="EE8">
        <v>0</v>
      </c>
      <c r="EF8" s="39">
        <v>1.33</v>
      </c>
      <c r="EG8">
        <v>0</v>
      </c>
      <c r="EH8" s="39">
        <v>132</v>
      </c>
      <c r="EI8" s="62">
        <v>1.9242424242424201</v>
      </c>
      <c r="EJ8" s="39">
        <v>254</v>
      </c>
      <c r="EK8" s="39">
        <v>1</v>
      </c>
      <c r="EL8">
        <f t="shared" si="6"/>
        <v>122</v>
      </c>
      <c r="EM8" s="39">
        <v>254</v>
      </c>
      <c r="EN8" s="39">
        <v>1</v>
      </c>
      <c r="EO8" s="39">
        <v>0</v>
      </c>
      <c r="ER8" s="39">
        <v>27</v>
      </c>
      <c r="ES8" s="39">
        <v>29</v>
      </c>
      <c r="ET8" s="39">
        <v>18</v>
      </c>
      <c r="EU8" s="39">
        <v>17</v>
      </c>
      <c r="EV8" s="39">
        <v>82</v>
      </c>
      <c r="EW8" s="39">
        <v>81</v>
      </c>
      <c r="EX8" s="39">
        <v>15</v>
      </c>
      <c r="EY8" s="39">
        <v>7</v>
      </c>
      <c r="FA8" s="39">
        <v>7.4</v>
      </c>
      <c r="FC8" s="39">
        <v>1</v>
      </c>
      <c r="FD8" s="39">
        <v>1</v>
      </c>
      <c r="FE8" s="39" t="e">
        <f>#REF!</f>
        <v>#REF!</v>
      </c>
      <c r="FF8" s="39">
        <v>1</v>
      </c>
      <c r="FG8">
        <v>1</v>
      </c>
      <c r="FH8" s="43">
        <v>43205</v>
      </c>
      <c r="FI8" s="43"/>
      <c r="FJ8" s="43"/>
      <c r="FK8" s="39">
        <v>0</v>
      </c>
      <c r="FL8">
        <v>0</v>
      </c>
      <c r="FM8"/>
      <c r="FN8"/>
      <c r="FO8">
        <v>0</v>
      </c>
      <c r="FQ8" s="44">
        <v>43195</v>
      </c>
      <c r="FR8" s="44" t="s">
        <v>230</v>
      </c>
      <c r="FS8" s="45">
        <v>0</v>
      </c>
      <c r="FT8" s="45">
        <v>0</v>
      </c>
      <c r="FU8" s="45">
        <v>1</v>
      </c>
      <c r="FV8" s="45">
        <v>0</v>
      </c>
      <c r="FW8" s="45">
        <v>1</v>
      </c>
      <c r="FX8" s="45">
        <v>0</v>
      </c>
      <c r="FY8" s="45">
        <v>0</v>
      </c>
      <c r="FZ8" s="45">
        <v>0</v>
      </c>
      <c r="GA8" s="45">
        <v>0</v>
      </c>
      <c r="GB8" s="45">
        <v>1</v>
      </c>
      <c r="GC8" s="45">
        <v>1</v>
      </c>
      <c r="GD8" s="45">
        <v>1</v>
      </c>
      <c r="GE8" s="45">
        <v>1</v>
      </c>
      <c r="GF8" s="45">
        <v>1</v>
      </c>
      <c r="GG8" s="45">
        <v>0</v>
      </c>
      <c r="GH8" s="45">
        <v>0</v>
      </c>
      <c r="GI8" s="45">
        <v>0</v>
      </c>
      <c r="GJ8" s="45">
        <v>1</v>
      </c>
      <c r="GK8" s="45">
        <v>0</v>
      </c>
      <c r="GL8" s="45">
        <v>0</v>
      </c>
      <c r="GM8" s="45">
        <v>1</v>
      </c>
      <c r="GN8" s="45">
        <v>0</v>
      </c>
      <c r="GO8" s="45">
        <v>1</v>
      </c>
      <c r="GP8" s="45">
        <v>1</v>
      </c>
      <c r="GQ8" s="45">
        <v>0</v>
      </c>
      <c r="GR8" s="45">
        <v>1</v>
      </c>
      <c r="GS8" s="45">
        <v>0</v>
      </c>
      <c r="GT8" s="45">
        <v>0</v>
      </c>
      <c r="GU8" s="45">
        <v>1</v>
      </c>
      <c r="GV8" s="45">
        <v>0</v>
      </c>
      <c r="GW8" s="45">
        <v>0</v>
      </c>
      <c r="GX8" s="45">
        <v>0</v>
      </c>
      <c r="GY8" s="15">
        <v>0</v>
      </c>
      <c r="GZ8" s="15">
        <v>0</v>
      </c>
      <c r="HA8" s="45">
        <v>0</v>
      </c>
      <c r="HB8" s="45">
        <v>1</v>
      </c>
      <c r="HC8" s="45">
        <v>0</v>
      </c>
      <c r="HD8" s="45">
        <v>0</v>
      </c>
      <c r="HE8" s="15">
        <v>0</v>
      </c>
      <c r="HF8" s="15">
        <v>0</v>
      </c>
      <c r="HG8" s="45">
        <v>0</v>
      </c>
      <c r="HH8" s="45">
        <v>1</v>
      </c>
      <c r="HI8" s="45">
        <v>0</v>
      </c>
      <c r="HJ8" s="45">
        <v>1</v>
      </c>
      <c r="HK8" s="45">
        <v>0</v>
      </c>
      <c r="HL8" s="45">
        <v>0</v>
      </c>
      <c r="HM8" s="45"/>
      <c r="HN8" s="45">
        <v>0</v>
      </c>
      <c r="HO8" s="45">
        <v>1</v>
      </c>
      <c r="HP8" s="45">
        <v>0</v>
      </c>
      <c r="HQ8" s="45">
        <v>0</v>
      </c>
      <c r="HR8" s="45">
        <v>0</v>
      </c>
      <c r="HS8" s="45">
        <v>0</v>
      </c>
      <c r="HT8" s="45">
        <v>1</v>
      </c>
      <c r="HU8" s="45">
        <v>1</v>
      </c>
      <c r="HV8" s="45">
        <v>0</v>
      </c>
      <c r="HW8" s="45">
        <v>0</v>
      </c>
      <c r="HX8" s="45">
        <v>0</v>
      </c>
      <c r="HY8" s="44">
        <v>43207</v>
      </c>
      <c r="HZ8" s="45" t="s">
        <v>231</v>
      </c>
      <c r="IA8" s="45">
        <v>0</v>
      </c>
      <c r="IB8" s="45">
        <v>1</v>
      </c>
      <c r="IC8" s="45">
        <v>1</v>
      </c>
      <c r="ID8" s="45">
        <v>0</v>
      </c>
      <c r="IE8" s="45">
        <v>1</v>
      </c>
      <c r="IF8" s="45">
        <v>0</v>
      </c>
      <c r="IG8" s="45">
        <v>0</v>
      </c>
      <c r="IH8" s="45">
        <v>0</v>
      </c>
      <c r="II8" s="45">
        <v>0</v>
      </c>
      <c r="IJ8" s="45">
        <v>1</v>
      </c>
      <c r="IK8" s="45">
        <v>0</v>
      </c>
      <c r="IL8" s="45">
        <v>1</v>
      </c>
      <c r="IM8" s="45">
        <v>1</v>
      </c>
      <c r="IN8" s="45">
        <v>1</v>
      </c>
      <c r="IO8" s="45">
        <v>0</v>
      </c>
      <c r="IP8" s="45">
        <v>0</v>
      </c>
      <c r="IQ8" s="45">
        <v>0</v>
      </c>
      <c r="IR8" s="45">
        <v>1</v>
      </c>
      <c r="IS8" s="45">
        <v>0</v>
      </c>
      <c r="IT8" s="45">
        <v>0</v>
      </c>
      <c r="IU8" s="45">
        <v>1</v>
      </c>
      <c r="IV8" s="45">
        <v>0</v>
      </c>
      <c r="IW8" s="45">
        <v>1</v>
      </c>
      <c r="IX8" s="45">
        <v>1</v>
      </c>
      <c r="IY8" s="45">
        <v>0</v>
      </c>
      <c r="IZ8" s="45">
        <v>1</v>
      </c>
      <c r="JA8" s="45">
        <v>0</v>
      </c>
      <c r="JB8" s="45">
        <v>0</v>
      </c>
      <c r="JC8" s="45">
        <v>1</v>
      </c>
      <c r="JD8" s="45">
        <v>0</v>
      </c>
      <c r="JE8" s="45">
        <v>0</v>
      </c>
      <c r="JF8" s="45">
        <v>0</v>
      </c>
      <c r="JG8" s="15">
        <v>0</v>
      </c>
      <c r="JH8" s="15">
        <v>0</v>
      </c>
      <c r="JI8" s="45">
        <v>0</v>
      </c>
      <c r="JJ8" s="45">
        <v>1</v>
      </c>
      <c r="JK8" s="45">
        <v>0</v>
      </c>
      <c r="JL8" s="45">
        <v>0</v>
      </c>
      <c r="JM8" s="15">
        <v>0</v>
      </c>
      <c r="JN8" s="15">
        <v>0</v>
      </c>
      <c r="JO8" s="45">
        <v>0</v>
      </c>
      <c r="JP8" s="45">
        <v>1</v>
      </c>
      <c r="JQ8" s="45">
        <v>0</v>
      </c>
      <c r="JR8" s="45">
        <v>1</v>
      </c>
      <c r="JS8" s="45">
        <v>1</v>
      </c>
      <c r="JT8" s="45">
        <v>0</v>
      </c>
      <c r="JU8" s="45"/>
      <c r="JV8" s="45">
        <v>0</v>
      </c>
      <c r="JW8" s="45">
        <v>1</v>
      </c>
      <c r="JX8" s="45">
        <v>0</v>
      </c>
      <c r="JY8" s="45">
        <v>0</v>
      </c>
      <c r="JZ8" s="45">
        <v>1</v>
      </c>
      <c r="KA8" s="45">
        <v>1</v>
      </c>
      <c r="KB8" s="45">
        <v>1</v>
      </c>
      <c r="KC8" s="45">
        <v>1</v>
      </c>
      <c r="KD8" s="45">
        <v>0</v>
      </c>
      <c r="KE8" s="45">
        <v>0</v>
      </c>
      <c r="KF8" s="45">
        <v>0</v>
      </c>
      <c r="KG8"/>
      <c r="KH8"/>
      <c r="KI8">
        <v>0</v>
      </c>
      <c r="KJ8">
        <v>1</v>
      </c>
      <c r="KK8">
        <v>1</v>
      </c>
      <c r="KL8">
        <v>0</v>
      </c>
      <c r="KM8">
        <v>1</v>
      </c>
      <c r="KN8">
        <v>0</v>
      </c>
      <c r="KO8">
        <v>0</v>
      </c>
      <c r="KP8">
        <v>0</v>
      </c>
      <c r="KQ8">
        <v>0</v>
      </c>
      <c r="KR8">
        <v>1</v>
      </c>
      <c r="KS8">
        <v>1</v>
      </c>
      <c r="KT8">
        <v>1</v>
      </c>
      <c r="KU8">
        <v>1</v>
      </c>
      <c r="KV8">
        <v>1</v>
      </c>
      <c r="KW8">
        <v>0</v>
      </c>
      <c r="KX8">
        <v>0</v>
      </c>
      <c r="KY8">
        <v>0</v>
      </c>
      <c r="KZ8">
        <v>1</v>
      </c>
      <c r="LA8">
        <v>0</v>
      </c>
      <c r="LB8">
        <v>0</v>
      </c>
      <c r="LC8">
        <v>1</v>
      </c>
      <c r="LD8">
        <v>0</v>
      </c>
      <c r="LE8">
        <v>1</v>
      </c>
      <c r="LF8">
        <v>1</v>
      </c>
      <c r="LG8">
        <v>0</v>
      </c>
      <c r="LH8">
        <v>1</v>
      </c>
      <c r="LI8">
        <v>0</v>
      </c>
      <c r="LJ8">
        <v>0</v>
      </c>
      <c r="LK8">
        <v>1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1</v>
      </c>
      <c r="LS8">
        <v>0</v>
      </c>
      <c r="LT8">
        <v>0</v>
      </c>
      <c r="LU8">
        <v>0</v>
      </c>
      <c r="LV8">
        <v>0</v>
      </c>
      <c r="LW8">
        <v>0</v>
      </c>
      <c r="LX8">
        <v>1</v>
      </c>
      <c r="LY8">
        <v>0</v>
      </c>
      <c r="LZ8">
        <v>1</v>
      </c>
      <c r="MA8">
        <v>0</v>
      </c>
      <c r="MB8">
        <v>0</v>
      </c>
      <c r="MC8">
        <v>0</v>
      </c>
      <c r="MD8">
        <v>0</v>
      </c>
      <c r="ME8">
        <v>1</v>
      </c>
      <c r="MF8">
        <v>0</v>
      </c>
      <c r="MG8">
        <v>0</v>
      </c>
      <c r="MH8">
        <v>1</v>
      </c>
      <c r="MI8">
        <v>1</v>
      </c>
      <c r="MJ8">
        <v>1</v>
      </c>
      <c r="MK8">
        <v>1</v>
      </c>
      <c r="ML8">
        <v>0</v>
      </c>
      <c r="MM8">
        <v>0</v>
      </c>
      <c r="MN8">
        <v>0</v>
      </c>
      <c r="MO8">
        <v>1</v>
      </c>
      <c r="MP8">
        <v>0</v>
      </c>
      <c r="MQ8">
        <v>1</v>
      </c>
      <c r="MR8">
        <v>1</v>
      </c>
      <c r="MS8">
        <v>1</v>
      </c>
      <c r="MT8">
        <v>1</v>
      </c>
    </row>
    <row r="9" spans="1:359" s="39" customFormat="1" ht="18" x14ac:dyDescent="0.25">
      <c r="A9" t="s">
        <v>401</v>
      </c>
      <c r="B9" s="40">
        <v>77</v>
      </c>
      <c r="C9" s="40">
        <v>0</v>
      </c>
      <c r="D9" s="40">
        <v>0</v>
      </c>
      <c r="E9" s="40"/>
      <c r="F9" s="55">
        <v>1846</v>
      </c>
      <c r="G9" s="55"/>
      <c r="H9" s="57">
        <v>0</v>
      </c>
      <c r="I9" s="57">
        <v>0</v>
      </c>
      <c r="J9" s="57"/>
      <c r="K9" s="40"/>
      <c r="L9" s="40"/>
      <c r="M9" s="40"/>
      <c r="N9" s="40">
        <v>0</v>
      </c>
      <c r="O9" s="42">
        <v>45033</v>
      </c>
      <c r="P9" s="64">
        <f t="shared" si="0"/>
        <v>1846</v>
      </c>
      <c r="Q9" s="39">
        <v>6</v>
      </c>
      <c r="R9" s="39">
        <v>0</v>
      </c>
      <c r="S9" s="39">
        <v>0</v>
      </c>
      <c r="T9" s="39">
        <v>78</v>
      </c>
      <c r="U9" s="39">
        <v>0</v>
      </c>
      <c r="V9" s="39">
        <v>1</v>
      </c>
      <c r="W9" s="39">
        <v>1</v>
      </c>
      <c r="X9" s="39">
        <v>0</v>
      </c>
      <c r="Y9" s="39">
        <v>0</v>
      </c>
      <c r="Z9" s="39">
        <v>1</v>
      </c>
      <c r="AA9" s="39">
        <v>0</v>
      </c>
      <c r="AB9" s="39">
        <v>0</v>
      </c>
      <c r="AC9" s="39">
        <v>0</v>
      </c>
      <c r="AD9" s="39">
        <v>0</v>
      </c>
      <c r="AE9" s="39">
        <v>0</v>
      </c>
      <c r="AF9" s="39">
        <v>0</v>
      </c>
      <c r="AG9" s="39">
        <v>1</v>
      </c>
      <c r="AH9" s="39">
        <v>0</v>
      </c>
      <c r="AI9" s="39">
        <v>0</v>
      </c>
      <c r="AJ9" s="39">
        <v>0</v>
      </c>
      <c r="AK9" s="39">
        <v>0</v>
      </c>
      <c r="AL9" s="39">
        <v>0</v>
      </c>
      <c r="AM9" s="39">
        <v>0</v>
      </c>
      <c r="AN9" s="39">
        <v>81</v>
      </c>
      <c r="AO9" s="39">
        <v>183</v>
      </c>
      <c r="AP9" s="39">
        <v>24.2</v>
      </c>
      <c r="AQ9" s="39">
        <v>37</v>
      </c>
      <c r="AR9" s="39">
        <v>143</v>
      </c>
      <c r="AS9" s="39">
        <v>72</v>
      </c>
      <c r="AT9" s="39">
        <v>2</v>
      </c>
      <c r="AU9">
        <v>0</v>
      </c>
      <c r="AV9" s="39">
        <v>84</v>
      </c>
      <c r="AW9" s="43">
        <v>43185</v>
      </c>
      <c r="AX9" s="43">
        <v>43187</v>
      </c>
      <c r="AY9" s="39">
        <v>0</v>
      </c>
      <c r="AZ9" s="43">
        <v>43184</v>
      </c>
      <c r="BA9" s="39">
        <v>1</v>
      </c>
      <c r="BB9" s="39">
        <v>0</v>
      </c>
      <c r="BC9" s="39">
        <v>1</v>
      </c>
      <c r="BD9" s="39">
        <v>1</v>
      </c>
      <c r="BE9" s="39">
        <v>0</v>
      </c>
      <c r="BF9" s="39">
        <v>0</v>
      </c>
      <c r="BG9" s="39">
        <v>0</v>
      </c>
      <c r="BH9" s="39">
        <v>0</v>
      </c>
      <c r="BI9" s="39">
        <v>0</v>
      </c>
      <c r="BJ9">
        <v>0</v>
      </c>
      <c r="BK9">
        <v>0</v>
      </c>
      <c r="BL9">
        <v>0</v>
      </c>
      <c r="BM9" s="66">
        <v>0</v>
      </c>
      <c r="BN9">
        <v>0</v>
      </c>
      <c r="BO9">
        <v>0</v>
      </c>
      <c r="BP9" s="66">
        <f t="shared" si="8"/>
        <v>0</v>
      </c>
      <c r="BQ9">
        <v>0</v>
      </c>
      <c r="BR9">
        <v>0</v>
      </c>
      <c r="BS9">
        <v>0</v>
      </c>
      <c r="BT9">
        <v>0</v>
      </c>
      <c r="BU9" s="66">
        <f t="shared" si="9"/>
        <v>0</v>
      </c>
      <c r="BV9">
        <v>0</v>
      </c>
      <c r="BW9">
        <v>0</v>
      </c>
      <c r="BX9" s="66">
        <f t="shared" si="3"/>
        <v>0</v>
      </c>
      <c r="BY9">
        <v>0</v>
      </c>
      <c r="BZ9">
        <f t="shared" si="4"/>
        <v>0</v>
      </c>
      <c r="CA9" s="39">
        <v>0</v>
      </c>
      <c r="CD9" s="39">
        <v>0</v>
      </c>
      <c r="CE9" s="39">
        <v>0</v>
      </c>
      <c r="CF9" s="39">
        <v>0</v>
      </c>
      <c r="CG9" s="39">
        <v>0</v>
      </c>
      <c r="CH9" s="39">
        <v>0</v>
      </c>
      <c r="CI9" s="39">
        <v>0</v>
      </c>
      <c r="CJ9" s="39">
        <v>0</v>
      </c>
      <c r="CK9" s="39">
        <v>0</v>
      </c>
      <c r="CL9" s="39">
        <v>0</v>
      </c>
      <c r="CM9" s="39">
        <v>0</v>
      </c>
      <c r="CN9" s="39">
        <v>0</v>
      </c>
      <c r="CO9">
        <f t="shared" si="7"/>
        <v>0</v>
      </c>
      <c r="CP9" s="39">
        <v>0</v>
      </c>
      <c r="CQ9" s="39">
        <v>0</v>
      </c>
      <c r="CR9" s="39">
        <v>0</v>
      </c>
      <c r="CS9" s="39">
        <v>0</v>
      </c>
      <c r="CT9" s="39">
        <v>0</v>
      </c>
      <c r="CU9" s="39">
        <v>0</v>
      </c>
      <c r="CV9" s="39">
        <v>0</v>
      </c>
      <c r="CW9" s="31"/>
      <c r="DA9" s="43">
        <v>43188</v>
      </c>
      <c r="DB9" s="66">
        <f t="shared" si="5"/>
        <v>4</v>
      </c>
      <c r="DC9" s="39" t="s">
        <v>4</v>
      </c>
      <c r="DD9" s="39">
        <v>0</v>
      </c>
      <c r="DE9" s="43">
        <v>43211</v>
      </c>
      <c r="DF9" s="39">
        <v>24</v>
      </c>
      <c r="DG9" s="43">
        <v>43188</v>
      </c>
      <c r="DH9" s="39">
        <v>13</v>
      </c>
      <c r="DI9" s="39">
        <v>5.9</v>
      </c>
      <c r="DJ9" s="39">
        <v>0.9</v>
      </c>
      <c r="DK9" s="80">
        <v>172</v>
      </c>
      <c r="DL9" s="39">
        <v>5</v>
      </c>
      <c r="DM9" s="39">
        <v>85</v>
      </c>
      <c r="DO9" s="39">
        <v>1</v>
      </c>
      <c r="DP9" s="39">
        <v>172</v>
      </c>
      <c r="DR9" s="39">
        <v>74</v>
      </c>
      <c r="DS9" s="39">
        <v>4.2</v>
      </c>
      <c r="DW9" s="43">
        <v>43185</v>
      </c>
      <c r="DX9" s="39">
        <v>16.899999999999999</v>
      </c>
      <c r="DY9" s="39">
        <v>7.5</v>
      </c>
      <c r="DZ9">
        <v>0</v>
      </c>
      <c r="EA9" s="39">
        <v>16.899999999999999</v>
      </c>
      <c r="EB9">
        <v>1</v>
      </c>
      <c r="EC9" s="39">
        <v>1.8</v>
      </c>
      <c r="ED9" s="39">
        <v>1.8</v>
      </c>
      <c r="EE9">
        <v>1</v>
      </c>
      <c r="EF9" s="39">
        <v>1.8</v>
      </c>
      <c r="EG9">
        <v>0</v>
      </c>
      <c r="EH9" s="39">
        <v>54</v>
      </c>
      <c r="EI9" s="62">
        <v>0.83333333333333304</v>
      </c>
      <c r="EJ9" s="39">
        <v>45</v>
      </c>
      <c r="EK9">
        <v>0</v>
      </c>
      <c r="EL9">
        <f t="shared" si="6"/>
        <v>-9</v>
      </c>
      <c r="EM9" s="39">
        <v>54</v>
      </c>
      <c r="EN9">
        <v>0</v>
      </c>
      <c r="ER9" s="39">
        <v>23</v>
      </c>
      <c r="ET9" s="39">
        <v>38</v>
      </c>
      <c r="EU9" s="39">
        <v>25</v>
      </c>
      <c r="EV9" s="39">
        <v>76</v>
      </c>
      <c r="EW9" s="39">
        <v>83</v>
      </c>
      <c r="EX9" s="39">
        <v>17</v>
      </c>
      <c r="EY9" s="39">
        <v>9</v>
      </c>
      <c r="FC9" s="39">
        <v>0</v>
      </c>
      <c r="FF9" s="39">
        <v>1</v>
      </c>
      <c r="FG9">
        <v>0</v>
      </c>
      <c r="FK9">
        <v>0</v>
      </c>
      <c r="FL9">
        <v>0</v>
      </c>
      <c r="FM9"/>
      <c r="FN9"/>
      <c r="FO9">
        <v>0</v>
      </c>
      <c r="FQ9" s="44">
        <v>43185</v>
      </c>
      <c r="FR9" s="44" t="s">
        <v>230</v>
      </c>
      <c r="FS9" s="45">
        <v>0</v>
      </c>
      <c r="FT9" s="45">
        <v>0</v>
      </c>
      <c r="FU9" s="45">
        <v>1</v>
      </c>
      <c r="FV9" s="45">
        <v>0</v>
      </c>
      <c r="FW9" s="45">
        <v>1</v>
      </c>
      <c r="FX9" s="45">
        <v>1</v>
      </c>
      <c r="FY9" s="45">
        <v>1</v>
      </c>
      <c r="FZ9" s="45">
        <v>0</v>
      </c>
      <c r="GA9" s="45">
        <v>0</v>
      </c>
      <c r="GB9" s="45">
        <v>1</v>
      </c>
      <c r="GC9" s="45">
        <v>1</v>
      </c>
      <c r="GD9" s="45">
        <v>1</v>
      </c>
      <c r="GE9" s="45">
        <v>0</v>
      </c>
      <c r="GF9" s="45">
        <v>0</v>
      </c>
      <c r="GG9" s="45">
        <v>0</v>
      </c>
      <c r="GH9" s="45">
        <v>0</v>
      </c>
      <c r="GI9" s="45">
        <v>0</v>
      </c>
      <c r="GJ9" s="45">
        <v>0</v>
      </c>
      <c r="GK9" s="45">
        <v>1</v>
      </c>
      <c r="GL9" s="45">
        <v>0</v>
      </c>
      <c r="GM9" s="45">
        <v>1</v>
      </c>
      <c r="GN9" s="45">
        <v>0</v>
      </c>
      <c r="GO9" s="45">
        <v>1</v>
      </c>
      <c r="GP9" s="45">
        <v>0</v>
      </c>
      <c r="GQ9" s="45">
        <v>1</v>
      </c>
      <c r="GR9" s="45">
        <v>1</v>
      </c>
      <c r="GS9" s="45">
        <v>1</v>
      </c>
      <c r="GT9" s="45">
        <v>0</v>
      </c>
      <c r="GU9" s="45">
        <v>1</v>
      </c>
      <c r="GV9" s="45">
        <v>0</v>
      </c>
      <c r="GW9" s="45">
        <v>0</v>
      </c>
      <c r="GX9" s="45">
        <v>0</v>
      </c>
      <c r="GY9" s="15">
        <v>0</v>
      </c>
      <c r="GZ9" s="15">
        <v>0</v>
      </c>
      <c r="HA9" s="45">
        <v>0</v>
      </c>
      <c r="HB9" s="45">
        <v>0</v>
      </c>
      <c r="HC9" s="45">
        <v>1</v>
      </c>
      <c r="HD9" s="45" t="s">
        <v>232</v>
      </c>
      <c r="HE9" s="15">
        <v>0</v>
      </c>
      <c r="HF9" s="15">
        <v>0</v>
      </c>
      <c r="HG9" s="45">
        <v>0</v>
      </c>
      <c r="HH9" s="45">
        <v>1</v>
      </c>
      <c r="HI9" s="45">
        <v>1</v>
      </c>
      <c r="HJ9" s="45">
        <v>1</v>
      </c>
      <c r="HK9" s="45">
        <v>0</v>
      </c>
      <c r="HL9" s="45">
        <v>1</v>
      </c>
      <c r="HM9" s="45"/>
      <c r="HN9" s="45">
        <v>1</v>
      </c>
      <c r="HO9" s="45">
        <v>1</v>
      </c>
      <c r="HP9" s="45">
        <v>0</v>
      </c>
      <c r="HQ9" s="45">
        <v>0</v>
      </c>
      <c r="HR9" s="45">
        <v>0</v>
      </c>
      <c r="HS9" s="45">
        <v>0</v>
      </c>
      <c r="HT9" s="45">
        <v>1</v>
      </c>
      <c r="HU9" s="45">
        <v>1</v>
      </c>
      <c r="HV9" s="45">
        <v>0</v>
      </c>
      <c r="HW9" s="45">
        <v>1</v>
      </c>
      <c r="HX9" s="45">
        <v>0</v>
      </c>
      <c r="HY9" s="44">
        <v>43196</v>
      </c>
      <c r="HZ9" s="45" t="s">
        <v>231</v>
      </c>
      <c r="IA9" s="45">
        <v>1</v>
      </c>
      <c r="IB9" s="45">
        <v>1</v>
      </c>
      <c r="IC9" s="45">
        <v>1</v>
      </c>
      <c r="ID9" s="45">
        <v>1</v>
      </c>
      <c r="IE9" s="45">
        <v>1</v>
      </c>
      <c r="IF9" s="45">
        <v>1</v>
      </c>
      <c r="IG9" s="45">
        <v>1</v>
      </c>
      <c r="IH9" s="45">
        <v>0</v>
      </c>
      <c r="II9" s="45">
        <v>0</v>
      </c>
      <c r="IJ9" s="45">
        <v>1</v>
      </c>
      <c r="IK9" s="45">
        <v>1</v>
      </c>
      <c r="IL9" s="45">
        <v>0</v>
      </c>
      <c r="IM9" s="45">
        <v>0</v>
      </c>
      <c r="IN9" s="45">
        <v>0</v>
      </c>
      <c r="IO9" s="45">
        <v>0</v>
      </c>
      <c r="IP9" s="45">
        <v>0</v>
      </c>
      <c r="IQ9" s="45">
        <v>0</v>
      </c>
      <c r="IR9" s="45">
        <v>1</v>
      </c>
      <c r="IS9" s="45">
        <v>0</v>
      </c>
      <c r="IT9" s="45">
        <v>0</v>
      </c>
      <c r="IU9" s="45">
        <v>1</v>
      </c>
      <c r="IV9" s="45">
        <v>0</v>
      </c>
      <c r="IW9" s="45">
        <v>1</v>
      </c>
      <c r="IX9" s="45">
        <v>1</v>
      </c>
      <c r="IY9" s="45">
        <v>0</v>
      </c>
      <c r="IZ9" s="45">
        <v>1</v>
      </c>
      <c r="JA9" s="45">
        <v>1</v>
      </c>
      <c r="JB9" s="45">
        <v>1</v>
      </c>
      <c r="JC9" s="45">
        <v>1</v>
      </c>
      <c r="JD9" s="45">
        <v>0</v>
      </c>
      <c r="JE9" s="45">
        <v>0</v>
      </c>
      <c r="JF9" s="45">
        <v>0</v>
      </c>
      <c r="JG9" s="15">
        <v>0</v>
      </c>
      <c r="JH9" s="15">
        <v>0</v>
      </c>
      <c r="JI9" s="45">
        <v>0</v>
      </c>
      <c r="JJ9" s="45">
        <v>0</v>
      </c>
      <c r="JK9" s="45">
        <v>1</v>
      </c>
      <c r="JL9" s="45" t="s">
        <v>232</v>
      </c>
      <c r="JM9" s="15">
        <v>0</v>
      </c>
      <c r="JN9" s="15">
        <v>0</v>
      </c>
      <c r="JO9" s="45">
        <v>0</v>
      </c>
      <c r="JP9" s="45">
        <v>0</v>
      </c>
      <c r="JQ9" s="45">
        <v>0</v>
      </c>
      <c r="JR9" s="45">
        <v>0</v>
      </c>
      <c r="JS9" s="45">
        <v>0</v>
      </c>
      <c r="JT9" s="45">
        <v>0</v>
      </c>
      <c r="JU9" s="45">
        <v>0</v>
      </c>
      <c r="JV9" s="45">
        <v>0</v>
      </c>
      <c r="JW9" s="45">
        <v>1</v>
      </c>
      <c r="JX9" s="45">
        <v>0</v>
      </c>
      <c r="JY9" s="45">
        <v>0</v>
      </c>
      <c r="JZ9" s="45">
        <v>0</v>
      </c>
      <c r="KA9" s="45">
        <v>0</v>
      </c>
      <c r="KB9" s="45">
        <v>0</v>
      </c>
      <c r="KC9" s="45">
        <v>0</v>
      </c>
      <c r="KD9" s="45">
        <v>0</v>
      </c>
      <c r="KE9" s="45">
        <v>1</v>
      </c>
      <c r="KF9" s="45">
        <v>0</v>
      </c>
      <c r="KG9"/>
      <c r="KH9"/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0</v>
      </c>
      <c r="KQ9">
        <v>0</v>
      </c>
      <c r="KR9">
        <v>1</v>
      </c>
      <c r="KS9">
        <v>1</v>
      </c>
      <c r="KT9">
        <v>1</v>
      </c>
      <c r="KU9">
        <v>0</v>
      </c>
      <c r="KV9">
        <v>0</v>
      </c>
      <c r="KW9">
        <v>0</v>
      </c>
      <c r="KX9">
        <v>0</v>
      </c>
      <c r="KY9">
        <v>0</v>
      </c>
      <c r="KZ9">
        <v>1</v>
      </c>
      <c r="LA9">
        <v>1</v>
      </c>
      <c r="LB9">
        <v>0</v>
      </c>
      <c r="LC9">
        <v>1</v>
      </c>
      <c r="LD9">
        <v>0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1</v>
      </c>
      <c r="LT9"/>
      <c r="LU9">
        <v>0</v>
      </c>
      <c r="LV9">
        <v>0</v>
      </c>
      <c r="LW9">
        <v>0</v>
      </c>
      <c r="LX9">
        <v>1</v>
      </c>
      <c r="LY9">
        <v>1</v>
      </c>
      <c r="LZ9">
        <v>1</v>
      </c>
      <c r="MA9">
        <v>0</v>
      </c>
      <c r="MB9">
        <v>1</v>
      </c>
      <c r="MC9">
        <v>0</v>
      </c>
      <c r="MD9">
        <v>1</v>
      </c>
      <c r="ME9">
        <v>1</v>
      </c>
      <c r="MF9">
        <v>0</v>
      </c>
      <c r="MG9">
        <v>0</v>
      </c>
      <c r="MH9">
        <v>0</v>
      </c>
      <c r="MI9">
        <v>0</v>
      </c>
      <c r="MJ9">
        <v>1</v>
      </c>
      <c r="MK9">
        <v>1</v>
      </c>
      <c r="ML9">
        <v>0</v>
      </c>
      <c r="MM9">
        <v>1</v>
      </c>
      <c r="MN9">
        <v>0</v>
      </c>
      <c r="MO9">
        <v>1</v>
      </c>
      <c r="MP9">
        <v>0</v>
      </c>
      <c r="MQ9">
        <v>1</v>
      </c>
      <c r="MR9">
        <v>1</v>
      </c>
      <c r="MS9">
        <v>0</v>
      </c>
      <c r="MT9">
        <v>0</v>
      </c>
    </row>
    <row r="10" spans="1:359" s="39" customFormat="1" ht="18" x14ac:dyDescent="0.25">
      <c r="A10" t="s">
        <v>402</v>
      </c>
      <c r="B10" s="40">
        <v>21</v>
      </c>
      <c r="C10" s="40">
        <v>0</v>
      </c>
      <c r="D10" s="40">
        <v>1</v>
      </c>
      <c r="E10" s="41">
        <v>43083</v>
      </c>
      <c r="F10" s="61">
        <v>0</v>
      </c>
      <c r="G10" s="61"/>
      <c r="H10" s="58">
        <v>1</v>
      </c>
      <c r="I10" s="57">
        <v>1</v>
      </c>
      <c r="J10" s="58">
        <v>0</v>
      </c>
      <c r="K10" s="40" t="s">
        <v>20</v>
      </c>
      <c r="L10" s="65">
        <v>3</v>
      </c>
      <c r="M10" s="40"/>
      <c r="N10" s="40">
        <v>0</v>
      </c>
      <c r="O10" s="42">
        <v>43763</v>
      </c>
      <c r="P10" s="64">
        <f t="shared" si="0"/>
        <v>680</v>
      </c>
      <c r="Q10" s="39">
        <v>1</v>
      </c>
      <c r="R10" s="39">
        <v>0</v>
      </c>
      <c r="U10" s="39">
        <v>0</v>
      </c>
      <c r="V10" s="39">
        <v>0</v>
      </c>
      <c r="W10" s="39">
        <v>0</v>
      </c>
      <c r="X10" s="39">
        <v>0</v>
      </c>
      <c r="Y10" s="39">
        <v>0</v>
      </c>
      <c r="Z10" s="39">
        <v>0</v>
      </c>
      <c r="AA10" s="39">
        <v>0</v>
      </c>
      <c r="AB10" s="39">
        <v>0</v>
      </c>
      <c r="AC10" s="39">
        <v>0</v>
      </c>
      <c r="AD10" s="39">
        <v>0</v>
      </c>
      <c r="AE10" s="39">
        <v>0</v>
      </c>
      <c r="AF10" s="39">
        <v>0</v>
      </c>
      <c r="AG10" s="39">
        <v>0</v>
      </c>
      <c r="AH10" s="39">
        <v>0</v>
      </c>
      <c r="AI10" s="39">
        <v>1</v>
      </c>
      <c r="AJ10" s="39">
        <v>1</v>
      </c>
      <c r="AK10" s="39">
        <v>0</v>
      </c>
      <c r="AL10" s="39">
        <v>0</v>
      </c>
      <c r="AM10" s="39">
        <v>0</v>
      </c>
      <c r="AN10" s="39">
        <v>63</v>
      </c>
      <c r="AO10" s="39">
        <v>170</v>
      </c>
      <c r="AP10" s="39">
        <v>21.8</v>
      </c>
      <c r="AQ10" s="39">
        <v>37.6</v>
      </c>
      <c r="AR10" s="39">
        <v>113</v>
      </c>
      <c r="AS10" s="39">
        <v>80</v>
      </c>
      <c r="AT10" s="39">
        <v>3</v>
      </c>
      <c r="AU10">
        <v>1</v>
      </c>
      <c r="AV10" s="39">
        <v>151</v>
      </c>
      <c r="AW10" s="43">
        <v>43083</v>
      </c>
      <c r="AX10" s="43">
        <v>43083</v>
      </c>
      <c r="AY10" s="39">
        <v>0</v>
      </c>
      <c r="AZ10" s="43">
        <v>43083</v>
      </c>
      <c r="BA10" s="39">
        <v>1</v>
      </c>
      <c r="BB10" s="39">
        <v>1</v>
      </c>
      <c r="BC10" s="39">
        <v>0</v>
      </c>
      <c r="BD10" s="39">
        <v>0</v>
      </c>
      <c r="BE10" s="39">
        <v>0</v>
      </c>
      <c r="BF10" s="39">
        <v>0</v>
      </c>
      <c r="BG10" s="39">
        <v>0</v>
      </c>
      <c r="BH10" s="39">
        <v>0</v>
      </c>
      <c r="BI10" s="39">
        <v>1</v>
      </c>
      <c r="BJ10" s="39">
        <v>3</v>
      </c>
      <c r="BK10">
        <v>0</v>
      </c>
      <c r="BL10">
        <v>0</v>
      </c>
      <c r="BN10">
        <v>0</v>
      </c>
      <c r="BO10">
        <v>0</v>
      </c>
      <c r="BP10" s="66">
        <f t="shared" si="8"/>
        <v>3</v>
      </c>
      <c r="BQ10" s="39">
        <v>1</v>
      </c>
      <c r="BR10" s="39">
        <v>3</v>
      </c>
      <c r="BS10">
        <v>0</v>
      </c>
      <c r="BT10">
        <v>0</v>
      </c>
      <c r="BU10" s="66"/>
      <c r="BV10">
        <v>0</v>
      </c>
      <c r="BW10">
        <v>0</v>
      </c>
      <c r="BX10" s="66">
        <f t="shared" si="3"/>
        <v>3</v>
      </c>
      <c r="BY10" s="39">
        <v>1</v>
      </c>
      <c r="BZ10">
        <v>1</v>
      </c>
      <c r="CA10" s="39">
        <v>1</v>
      </c>
      <c r="CB10" s="39">
        <v>0</v>
      </c>
      <c r="CD10" s="39">
        <v>1</v>
      </c>
      <c r="CE10" s="39">
        <v>0</v>
      </c>
      <c r="CF10" s="39">
        <v>0</v>
      </c>
      <c r="CG10" s="39">
        <v>0</v>
      </c>
      <c r="CH10" s="39">
        <v>1</v>
      </c>
      <c r="CI10" s="39">
        <v>0</v>
      </c>
      <c r="CJ10" s="39">
        <v>0</v>
      </c>
      <c r="CK10" s="39">
        <v>0</v>
      </c>
      <c r="CL10" s="39">
        <v>0</v>
      </c>
      <c r="CM10" s="39">
        <v>0</v>
      </c>
      <c r="CN10" s="39">
        <v>0</v>
      </c>
      <c r="CO10">
        <v>1</v>
      </c>
      <c r="CP10" s="39">
        <v>0</v>
      </c>
      <c r="CQ10" s="39">
        <v>0</v>
      </c>
      <c r="CR10" s="39">
        <v>0</v>
      </c>
      <c r="CS10" s="39">
        <v>0</v>
      </c>
      <c r="CT10" s="39">
        <v>0</v>
      </c>
      <c r="CU10" s="39">
        <v>0</v>
      </c>
      <c r="CV10" s="39">
        <v>0</v>
      </c>
      <c r="CW10" s="31"/>
      <c r="DA10" s="43">
        <v>43644</v>
      </c>
      <c r="DB10" s="66">
        <f t="shared" si="5"/>
        <v>561</v>
      </c>
      <c r="DC10" s="39" t="s">
        <v>1</v>
      </c>
      <c r="DD10" s="39">
        <v>0</v>
      </c>
      <c r="DE10" s="43">
        <v>43647</v>
      </c>
      <c r="DF10" s="39">
        <v>4</v>
      </c>
      <c r="DG10" s="43">
        <v>43644</v>
      </c>
      <c r="DK10" s="80"/>
      <c r="DW10" s="43">
        <v>43082</v>
      </c>
      <c r="ED10"/>
      <c r="EE10"/>
      <c r="EI10" s="62"/>
      <c r="EL10"/>
      <c r="EY10" s="39" t="s">
        <v>238</v>
      </c>
      <c r="FF10" s="39">
        <v>0</v>
      </c>
      <c r="FG10">
        <v>0</v>
      </c>
      <c r="FK10">
        <v>0</v>
      </c>
      <c r="FL10">
        <v>1</v>
      </c>
      <c r="FM10" s="39">
        <v>15</v>
      </c>
      <c r="FN10" s="39">
        <v>30</v>
      </c>
      <c r="FO10">
        <v>0</v>
      </c>
      <c r="FQ10" s="44">
        <v>43606</v>
      </c>
      <c r="FR10" s="44" t="s">
        <v>230</v>
      </c>
      <c r="FS10" s="45">
        <v>0</v>
      </c>
      <c r="FT10" s="45">
        <v>0</v>
      </c>
      <c r="FU10" s="45">
        <v>1</v>
      </c>
      <c r="FV10" s="45">
        <v>0</v>
      </c>
      <c r="FW10" s="45">
        <v>1</v>
      </c>
      <c r="FX10" s="45">
        <v>0</v>
      </c>
      <c r="FY10" s="45">
        <v>0</v>
      </c>
      <c r="FZ10" s="45">
        <v>0</v>
      </c>
      <c r="GA10" s="45">
        <v>0</v>
      </c>
      <c r="GB10" s="45">
        <v>1</v>
      </c>
      <c r="GC10" s="45">
        <v>1</v>
      </c>
      <c r="GD10" s="45">
        <v>1</v>
      </c>
      <c r="GE10" s="45">
        <v>0</v>
      </c>
      <c r="GF10" s="45">
        <v>0</v>
      </c>
      <c r="GG10" s="45">
        <v>0</v>
      </c>
      <c r="GH10" s="45">
        <v>0</v>
      </c>
      <c r="GI10" s="45">
        <v>1</v>
      </c>
      <c r="GJ10" s="45">
        <v>0</v>
      </c>
      <c r="GK10" s="45">
        <v>0</v>
      </c>
      <c r="GL10" s="45">
        <v>1</v>
      </c>
      <c r="GM10" s="45">
        <v>0</v>
      </c>
      <c r="GN10" s="45">
        <v>0</v>
      </c>
      <c r="GO10" s="45">
        <v>0</v>
      </c>
      <c r="GP10" s="45">
        <v>0</v>
      </c>
      <c r="GQ10" s="45">
        <v>0</v>
      </c>
      <c r="GR10" s="45">
        <v>0</v>
      </c>
      <c r="GS10" s="45">
        <v>0</v>
      </c>
      <c r="GT10" s="45">
        <v>0</v>
      </c>
      <c r="GU10" s="45">
        <v>1</v>
      </c>
      <c r="GV10" s="45">
        <v>0</v>
      </c>
      <c r="GW10" s="45">
        <v>0</v>
      </c>
      <c r="GX10" s="45">
        <v>0</v>
      </c>
      <c r="GY10" s="15">
        <v>0</v>
      </c>
      <c r="GZ10" s="15">
        <v>0</v>
      </c>
      <c r="HA10" s="45">
        <v>0</v>
      </c>
      <c r="HB10" s="45">
        <v>1</v>
      </c>
      <c r="HC10" s="45">
        <v>0</v>
      </c>
      <c r="HD10" s="45">
        <v>0</v>
      </c>
      <c r="HE10" s="15">
        <v>0</v>
      </c>
      <c r="HF10" s="15">
        <v>0</v>
      </c>
      <c r="HG10" s="45">
        <v>0</v>
      </c>
      <c r="HH10" s="45">
        <v>1</v>
      </c>
      <c r="HI10" s="45">
        <v>1</v>
      </c>
      <c r="HJ10" s="45">
        <v>1</v>
      </c>
      <c r="HK10" s="45">
        <v>0</v>
      </c>
      <c r="HL10" s="45">
        <v>1</v>
      </c>
      <c r="HM10" s="45"/>
      <c r="HN10" s="45">
        <v>1</v>
      </c>
      <c r="HO10" s="45">
        <v>1</v>
      </c>
      <c r="HP10" s="45">
        <v>0</v>
      </c>
      <c r="HQ10" s="45">
        <v>0</v>
      </c>
      <c r="HR10" s="45">
        <v>0</v>
      </c>
      <c r="HS10" s="45">
        <v>0</v>
      </c>
      <c r="HT10" s="45">
        <v>1</v>
      </c>
      <c r="HU10" s="45">
        <v>1</v>
      </c>
      <c r="HV10" s="45">
        <v>0</v>
      </c>
      <c r="HW10" s="45">
        <v>0</v>
      </c>
      <c r="HX10" s="45">
        <v>0</v>
      </c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44"/>
      <c r="JC10" s="44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44"/>
      <c r="JO10" s="44"/>
      <c r="JP10" s="44"/>
      <c r="JQ10" s="44"/>
      <c r="JR10" s="44"/>
      <c r="JS10" s="44"/>
      <c r="JT10" s="44"/>
      <c r="JU10" s="44"/>
      <c r="JV10" s="44"/>
      <c r="JW10" s="44"/>
      <c r="JX10" s="44"/>
      <c r="JY10" s="44"/>
      <c r="JZ10" s="44"/>
      <c r="KA10" s="44"/>
      <c r="KB10" s="44"/>
      <c r="KC10" s="44"/>
      <c r="KD10" s="44"/>
      <c r="KE10" s="44"/>
      <c r="KF10" s="44"/>
      <c r="KG10"/>
      <c r="KH10"/>
      <c r="KI10">
        <v>0</v>
      </c>
      <c r="KJ10">
        <v>0</v>
      </c>
      <c r="KK10">
        <v>1</v>
      </c>
      <c r="KL10">
        <v>0</v>
      </c>
      <c r="KM10">
        <v>1</v>
      </c>
      <c r="KN10">
        <v>0</v>
      </c>
      <c r="KO10">
        <v>0</v>
      </c>
      <c r="KP10">
        <v>0</v>
      </c>
      <c r="KQ10">
        <v>0</v>
      </c>
      <c r="KR10">
        <v>1</v>
      </c>
      <c r="KS10">
        <v>1</v>
      </c>
      <c r="KT10">
        <v>1</v>
      </c>
      <c r="KU10">
        <v>0</v>
      </c>
      <c r="KV10">
        <v>0</v>
      </c>
      <c r="KW10">
        <v>0</v>
      </c>
      <c r="KX10">
        <v>0</v>
      </c>
      <c r="KY10">
        <v>1</v>
      </c>
      <c r="KZ10">
        <v>0</v>
      </c>
      <c r="LA10">
        <v>0</v>
      </c>
      <c r="LB10">
        <v>1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1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1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1</v>
      </c>
      <c r="LY10">
        <v>1</v>
      </c>
      <c r="LZ10">
        <v>1</v>
      </c>
      <c r="MA10">
        <v>0</v>
      </c>
      <c r="MB10">
        <v>1</v>
      </c>
      <c r="MC10">
        <v>0</v>
      </c>
      <c r="MD10">
        <v>1</v>
      </c>
      <c r="ME10">
        <v>1</v>
      </c>
      <c r="MF10">
        <v>0</v>
      </c>
      <c r="MG10">
        <v>0</v>
      </c>
      <c r="MH10">
        <v>0</v>
      </c>
      <c r="MI10">
        <v>0</v>
      </c>
      <c r="MJ10">
        <v>1</v>
      </c>
      <c r="MK10">
        <v>1</v>
      </c>
      <c r="ML10">
        <v>0</v>
      </c>
      <c r="MM10">
        <v>0</v>
      </c>
      <c r="MN10">
        <v>0</v>
      </c>
      <c r="MO10">
        <v>1</v>
      </c>
      <c r="MP10">
        <v>0</v>
      </c>
      <c r="MQ10">
        <v>1</v>
      </c>
      <c r="MR10">
        <v>1</v>
      </c>
    </row>
    <row r="11" spans="1:359" ht="18" x14ac:dyDescent="0.25">
      <c r="A11" t="s">
        <v>403</v>
      </c>
      <c r="B11" s="3">
        <v>30</v>
      </c>
      <c r="C11" s="3">
        <v>0</v>
      </c>
      <c r="D11" s="3">
        <v>0</v>
      </c>
      <c r="E11" s="3"/>
      <c r="F11" s="55">
        <v>490</v>
      </c>
      <c r="G11" s="55"/>
      <c r="H11" s="57">
        <v>0</v>
      </c>
      <c r="I11" s="57">
        <v>0</v>
      </c>
      <c r="J11" s="57"/>
      <c r="K11" s="3"/>
      <c r="L11" s="3"/>
      <c r="M11" s="3"/>
      <c r="N11" s="3">
        <v>0</v>
      </c>
      <c r="O11" s="2">
        <v>44942</v>
      </c>
      <c r="P11" s="64">
        <f t="shared" si="0"/>
        <v>490</v>
      </c>
      <c r="Q11">
        <v>1</v>
      </c>
      <c r="R11">
        <v>1</v>
      </c>
      <c r="S11">
        <v>0</v>
      </c>
      <c r="T11">
        <v>92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75</v>
      </c>
      <c r="AO11">
        <v>170</v>
      </c>
      <c r="AP11">
        <v>26</v>
      </c>
      <c r="AQ11">
        <v>37</v>
      </c>
      <c r="AR11">
        <v>121</v>
      </c>
      <c r="AS11">
        <v>76</v>
      </c>
      <c r="AT11">
        <v>2</v>
      </c>
      <c r="AU11">
        <v>0</v>
      </c>
      <c r="AV11">
        <v>119</v>
      </c>
      <c r="AW11" s="1">
        <v>44452</v>
      </c>
      <c r="AX11" s="1">
        <v>44452</v>
      </c>
      <c r="AY11">
        <v>0</v>
      </c>
      <c r="AZ11" s="1">
        <v>44452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s="66">
        <v>0</v>
      </c>
      <c r="BN11">
        <v>0</v>
      </c>
      <c r="BO11">
        <v>0</v>
      </c>
      <c r="BP11" s="66">
        <f t="shared" si="8"/>
        <v>0</v>
      </c>
      <c r="BQ11">
        <v>0</v>
      </c>
      <c r="BR11">
        <v>0</v>
      </c>
      <c r="BS11">
        <v>0</v>
      </c>
      <c r="BT11">
        <v>0</v>
      </c>
      <c r="BU11" s="66">
        <f t="shared" si="9"/>
        <v>0</v>
      </c>
      <c r="BV11">
        <v>0</v>
      </c>
      <c r="BW11">
        <v>0</v>
      </c>
      <c r="BX11" s="66">
        <f t="shared" si="3"/>
        <v>0</v>
      </c>
      <c r="BY11">
        <v>0</v>
      </c>
      <c r="BZ11">
        <f t="shared" si="4"/>
        <v>0</v>
      </c>
      <c r="CA11">
        <v>0</v>
      </c>
      <c r="CB11">
        <v>0</v>
      </c>
      <c r="CC11">
        <v>2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f t="shared" si="7"/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</v>
      </c>
      <c r="CY11">
        <v>0</v>
      </c>
      <c r="DA11" s="1">
        <v>44452</v>
      </c>
      <c r="DB11" s="66">
        <f t="shared" si="5"/>
        <v>0</v>
      </c>
      <c r="DC11" t="s">
        <v>1</v>
      </c>
      <c r="DD11">
        <v>0</v>
      </c>
      <c r="DE11" s="1">
        <v>44456</v>
      </c>
      <c r="DF11">
        <v>5</v>
      </c>
      <c r="DG11" s="1">
        <v>44452</v>
      </c>
      <c r="DH11">
        <v>16</v>
      </c>
      <c r="DI11">
        <v>17</v>
      </c>
      <c r="DJ11">
        <v>1.2</v>
      </c>
      <c r="DK11" s="66">
        <v>278</v>
      </c>
      <c r="DL11">
        <v>3</v>
      </c>
      <c r="DM11">
        <v>88</v>
      </c>
      <c r="DN11">
        <v>981</v>
      </c>
      <c r="DO11">
        <v>2</v>
      </c>
      <c r="DP11">
        <v>278</v>
      </c>
      <c r="DQ11">
        <v>981</v>
      </c>
      <c r="DR11">
        <v>72</v>
      </c>
      <c r="DS11">
        <v>2.2999999999999998</v>
      </c>
      <c r="DU11">
        <v>478</v>
      </c>
      <c r="DV11">
        <v>4</v>
      </c>
      <c r="DW11" s="1">
        <v>44452</v>
      </c>
      <c r="DX11">
        <v>18.7</v>
      </c>
      <c r="DY11">
        <v>13.2</v>
      </c>
      <c r="DZ11">
        <v>1</v>
      </c>
      <c r="EA11">
        <v>18.7</v>
      </c>
      <c r="EB11">
        <v>1</v>
      </c>
      <c r="EC11">
        <v>2.12</v>
      </c>
      <c r="ED11">
        <v>0.97</v>
      </c>
      <c r="EE11">
        <v>0</v>
      </c>
      <c r="EF11">
        <v>2.12</v>
      </c>
      <c r="EG11">
        <v>1</v>
      </c>
      <c r="EH11">
        <v>2</v>
      </c>
      <c r="EI11" s="62">
        <v>1.5</v>
      </c>
      <c r="EJ11">
        <v>3</v>
      </c>
      <c r="EK11">
        <v>0</v>
      </c>
      <c r="EL11">
        <f t="shared" si="6"/>
        <v>1</v>
      </c>
      <c r="EM11">
        <v>3</v>
      </c>
      <c r="EN11">
        <v>0</v>
      </c>
      <c r="EO11">
        <v>0.06</v>
      </c>
      <c r="ER11">
        <v>23</v>
      </c>
      <c r="ES11">
        <v>27</v>
      </c>
      <c r="ET11">
        <v>70</v>
      </c>
      <c r="EU11">
        <v>83</v>
      </c>
      <c r="EV11">
        <v>47</v>
      </c>
      <c r="EW11">
        <v>88</v>
      </c>
      <c r="EX11">
        <v>11</v>
      </c>
      <c r="EY11">
        <v>4</v>
      </c>
      <c r="FB11">
        <v>0</v>
      </c>
      <c r="FC11">
        <v>1</v>
      </c>
      <c r="FD11">
        <v>0</v>
      </c>
      <c r="FF11">
        <v>1</v>
      </c>
      <c r="FG11">
        <v>1</v>
      </c>
      <c r="FH11" s="1">
        <v>44453</v>
      </c>
      <c r="FI11" s="1"/>
      <c r="FJ11" s="1"/>
      <c r="FK11">
        <v>0</v>
      </c>
      <c r="FL11">
        <v>0</v>
      </c>
      <c r="FO11">
        <v>0</v>
      </c>
      <c r="FQ11" s="22">
        <v>44452</v>
      </c>
      <c r="FR11" s="22" t="s">
        <v>230</v>
      </c>
      <c r="FS11" s="15">
        <v>0</v>
      </c>
      <c r="FT11" s="15">
        <v>0</v>
      </c>
      <c r="FU11" s="15">
        <v>1</v>
      </c>
      <c r="FV11" s="15">
        <v>0</v>
      </c>
      <c r="FW11" s="15">
        <v>1</v>
      </c>
      <c r="FX11" s="15">
        <v>0</v>
      </c>
      <c r="FY11" s="15">
        <v>0</v>
      </c>
      <c r="FZ11" s="15">
        <v>0</v>
      </c>
      <c r="GA11" s="15">
        <v>0</v>
      </c>
      <c r="GB11" s="15">
        <v>1</v>
      </c>
      <c r="GC11" s="15">
        <v>0</v>
      </c>
      <c r="GD11" s="15">
        <v>1</v>
      </c>
      <c r="GE11" s="15">
        <v>0</v>
      </c>
      <c r="GF11" s="15">
        <v>0</v>
      </c>
      <c r="GG11" s="15">
        <v>0</v>
      </c>
      <c r="GH11" s="15">
        <v>0</v>
      </c>
      <c r="GI11" s="15">
        <v>1</v>
      </c>
      <c r="GJ11" s="15">
        <v>0</v>
      </c>
      <c r="GK11" s="15">
        <v>0</v>
      </c>
      <c r="GL11" s="15">
        <v>1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1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1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1</v>
      </c>
      <c r="HJ11" s="15">
        <v>0</v>
      </c>
      <c r="HK11" s="15">
        <v>0</v>
      </c>
      <c r="HL11" s="15">
        <v>0</v>
      </c>
      <c r="HM11" s="15"/>
      <c r="HN11" s="15">
        <v>0</v>
      </c>
      <c r="HO11" s="15">
        <v>1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1</v>
      </c>
      <c r="HV11" s="15">
        <v>0</v>
      </c>
      <c r="HW11" s="15">
        <v>0</v>
      </c>
      <c r="HX11" s="15">
        <v>0</v>
      </c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  <c r="IZ11" s="22"/>
      <c r="JA11" s="22"/>
      <c r="JB11" s="22"/>
      <c r="JC11" s="22"/>
      <c r="JD11" s="22"/>
      <c r="JE11" s="22"/>
      <c r="JF11" s="22"/>
      <c r="JG11" s="22"/>
      <c r="JH11" s="22"/>
      <c r="JI11" s="22"/>
      <c r="JJ11" s="22"/>
      <c r="JK11" s="22"/>
      <c r="JL11" s="22"/>
      <c r="JM11" s="22"/>
      <c r="JN11" s="22"/>
      <c r="JO11" s="22"/>
      <c r="JP11" s="22"/>
      <c r="JQ11" s="22"/>
      <c r="JR11" s="22"/>
      <c r="JS11" s="22"/>
      <c r="JT11" s="22"/>
      <c r="JU11" s="22"/>
      <c r="JV11" s="22"/>
      <c r="JW11" s="22"/>
      <c r="JX11" s="22"/>
      <c r="JY11" s="22"/>
      <c r="JZ11" s="22"/>
      <c r="KA11" s="22"/>
      <c r="KB11" s="22"/>
      <c r="KC11" s="22"/>
      <c r="KD11" s="22"/>
      <c r="KE11" s="22"/>
      <c r="KF11" s="22"/>
      <c r="KI11">
        <v>0</v>
      </c>
      <c r="KJ11">
        <v>0</v>
      </c>
      <c r="KK11">
        <v>1</v>
      </c>
      <c r="KL11">
        <v>0</v>
      </c>
      <c r="KM11">
        <v>1</v>
      </c>
      <c r="KN11">
        <v>0</v>
      </c>
      <c r="KO11">
        <v>0</v>
      </c>
      <c r="KP11">
        <v>0</v>
      </c>
      <c r="KQ11">
        <v>0</v>
      </c>
      <c r="KR11">
        <v>1</v>
      </c>
      <c r="KS11">
        <v>0</v>
      </c>
      <c r="KT11">
        <v>1</v>
      </c>
      <c r="KU11">
        <v>0</v>
      </c>
      <c r="KV11">
        <v>0</v>
      </c>
      <c r="KW11">
        <v>0</v>
      </c>
      <c r="KX11">
        <v>0</v>
      </c>
      <c r="KY11">
        <v>1</v>
      </c>
      <c r="KZ11">
        <v>0</v>
      </c>
      <c r="LA11">
        <v>0</v>
      </c>
      <c r="LB11">
        <v>1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1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1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1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1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1</v>
      </c>
      <c r="ML11">
        <v>0</v>
      </c>
      <c r="MM11">
        <v>0</v>
      </c>
      <c r="MN11">
        <v>0</v>
      </c>
      <c r="MO11">
        <v>0</v>
      </c>
      <c r="MP11">
        <v>0</v>
      </c>
      <c r="MQ11">
        <f t="shared" ref="MQ11:MQ64" si="10">MH11+MA11+LZ11</f>
        <v>0</v>
      </c>
      <c r="MR11">
        <f t="shared" ref="MR11:MR64" si="11">MH11+MC11+MA11+LZ11</f>
        <v>0</v>
      </c>
    </row>
    <row r="12" spans="1:359" s="39" customFormat="1" ht="18" x14ac:dyDescent="0.25">
      <c r="A12" t="s">
        <v>404</v>
      </c>
      <c r="B12" s="48">
        <v>87</v>
      </c>
      <c r="C12" s="40">
        <v>1</v>
      </c>
      <c r="D12" s="40">
        <v>0</v>
      </c>
      <c r="E12" s="40"/>
      <c r="F12" s="55">
        <v>1134</v>
      </c>
      <c r="G12" s="55"/>
      <c r="H12" s="57">
        <v>0</v>
      </c>
      <c r="I12" s="57">
        <v>0</v>
      </c>
      <c r="J12" s="57"/>
      <c r="K12" s="40"/>
      <c r="L12" s="40"/>
      <c r="M12" s="40"/>
      <c r="N12" s="40">
        <v>0</v>
      </c>
      <c r="O12" s="42">
        <v>44601</v>
      </c>
      <c r="P12" s="64">
        <f t="shared" si="0"/>
        <v>1134</v>
      </c>
      <c r="Q12" s="39">
        <v>4</v>
      </c>
      <c r="R12" s="39">
        <v>1</v>
      </c>
      <c r="S12" s="39">
        <v>0</v>
      </c>
      <c r="T12" s="39">
        <v>95</v>
      </c>
      <c r="U12" s="39">
        <v>0</v>
      </c>
      <c r="V12" s="39">
        <v>1</v>
      </c>
      <c r="W12" s="39">
        <v>1</v>
      </c>
      <c r="X12" s="39">
        <v>0</v>
      </c>
      <c r="Y12" s="39">
        <v>1</v>
      </c>
      <c r="Z12" s="39">
        <v>0</v>
      </c>
      <c r="AA12" s="39">
        <v>0</v>
      </c>
      <c r="AB12" s="39">
        <v>0</v>
      </c>
      <c r="AC12" s="39">
        <v>0</v>
      </c>
      <c r="AD12" s="39">
        <v>0</v>
      </c>
      <c r="AE12" s="39">
        <v>0</v>
      </c>
      <c r="AF12" s="39">
        <v>0</v>
      </c>
      <c r="AG12" s="39">
        <v>0</v>
      </c>
      <c r="AH12" s="39">
        <v>0</v>
      </c>
      <c r="AI12" s="39">
        <v>0</v>
      </c>
      <c r="AJ12" s="39">
        <v>0</v>
      </c>
      <c r="AK12" s="39">
        <v>0</v>
      </c>
      <c r="AL12" s="39">
        <v>0</v>
      </c>
      <c r="AM12" s="39">
        <v>0</v>
      </c>
      <c r="AN12" s="39">
        <v>50</v>
      </c>
      <c r="AO12" s="39">
        <v>168</v>
      </c>
      <c r="AP12" s="39">
        <v>17.7</v>
      </c>
      <c r="AQ12" s="39">
        <v>37.200000000000003</v>
      </c>
      <c r="AT12" s="39">
        <v>2</v>
      </c>
      <c r="AU12">
        <v>0</v>
      </c>
      <c r="AV12" s="39">
        <v>53</v>
      </c>
      <c r="AW12" s="43">
        <v>43467</v>
      </c>
      <c r="AX12" s="43">
        <v>43467</v>
      </c>
      <c r="AY12" s="39">
        <v>0</v>
      </c>
      <c r="AZ12" s="43">
        <v>43464</v>
      </c>
      <c r="BA12" s="39">
        <v>1</v>
      </c>
      <c r="BB12" s="39">
        <v>0</v>
      </c>
      <c r="BC12" s="39">
        <v>1</v>
      </c>
      <c r="BD12" s="39">
        <v>1</v>
      </c>
      <c r="BE12" s="39">
        <v>0</v>
      </c>
      <c r="BF12" s="39">
        <v>0</v>
      </c>
      <c r="BG12" s="39">
        <v>0</v>
      </c>
      <c r="BH12" s="39">
        <v>0</v>
      </c>
      <c r="BI12" s="39">
        <v>0</v>
      </c>
      <c r="BJ12">
        <v>0</v>
      </c>
      <c r="BK12">
        <v>0</v>
      </c>
      <c r="BL12">
        <v>0</v>
      </c>
      <c r="BM12" s="66">
        <v>0</v>
      </c>
      <c r="BN12">
        <v>0</v>
      </c>
      <c r="BO12">
        <v>0</v>
      </c>
      <c r="BP12" s="66">
        <f t="shared" si="8"/>
        <v>0</v>
      </c>
      <c r="BQ12">
        <v>0</v>
      </c>
      <c r="BR12">
        <v>0</v>
      </c>
      <c r="BS12">
        <v>0</v>
      </c>
      <c r="BT12">
        <v>0</v>
      </c>
      <c r="BU12" s="66">
        <f t="shared" si="9"/>
        <v>0</v>
      </c>
      <c r="BV12">
        <v>0</v>
      </c>
      <c r="BW12">
        <v>0</v>
      </c>
      <c r="BX12" s="66">
        <f t="shared" si="3"/>
        <v>0</v>
      </c>
      <c r="BY12">
        <v>0</v>
      </c>
      <c r="BZ12">
        <f t="shared" si="4"/>
        <v>0</v>
      </c>
      <c r="CA12" s="39">
        <v>0</v>
      </c>
      <c r="CB12" s="39">
        <v>0</v>
      </c>
      <c r="CC12" s="39">
        <v>1</v>
      </c>
      <c r="CD12" s="39">
        <v>0</v>
      </c>
      <c r="CE12" s="39">
        <v>0</v>
      </c>
      <c r="CF12" s="39">
        <v>0</v>
      </c>
      <c r="CG12" s="39">
        <v>0</v>
      </c>
      <c r="CH12" s="39">
        <v>0</v>
      </c>
      <c r="CI12" s="39">
        <v>1</v>
      </c>
      <c r="CJ12" s="39">
        <v>0</v>
      </c>
      <c r="CK12" s="39">
        <v>0</v>
      </c>
      <c r="CL12" s="39">
        <v>0</v>
      </c>
      <c r="CM12" s="39">
        <v>0</v>
      </c>
      <c r="CN12" s="39">
        <v>0</v>
      </c>
      <c r="CO12">
        <v>1</v>
      </c>
      <c r="CP12" s="39">
        <v>0</v>
      </c>
      <c r="CQ12" s="39">
        <v>0</v>
      </c>
      <c r="CR12" s="39">
        <v>0</v>
      </c>
      <c r="CS12" s="39">
        <v>0</v>
      </c>
      <c r="CT12" s="39">
        <v>0</v>
      </c>
      <c r="CU12" s="39">
        <v>0</v>
      </c>
      <c r="CV12" s="39">
        <v>0</v>
      </c>
      <c r="CW12" s="31"/>
      <c r="CX12" s="39">
        <v>1</v>
      </c>
      <c r="CY12">
        <v>1</v>
      </c>
      <c r="CZ12" s="39">
        <v>1</v>
      </c>
      <c r="DA12" s="43">
        <v>43468</v>
      </c>
      <c r="DB12" s="66">
        <f t="shared" si="5"/>
        <v>4</v>
      </c>
      <c r="DC12" s="39" t="s">
        <v>1</v>
      </c>
      <c r="DD12" s="39">
        <v>0</v>
      </c>
      <c r="DE12" s="43">
        <v>43483</v>
      </c>
      <c r="DF12" s="39">
        <v>16</v>
      </c>
      <c r="DG12" s="43">
        <v>43468</v>
      </c>
      <c r="DH12" s="39">
        <v>11</v>
      </c>
      <c r="DI12" s="39">
        <v>15.5</v>
      </c>
      <c r="DJ12" s="39">
        <v>1.3</v>
      </c>
      <c r="DK12" s="80">
        <v>588</v>
      </c>
      <c r="DL12" s="39">
        <v>9</v>
      </c>
      <c r="DM12" s="39">
        <v>102</v>
      </c>
      <c r="DO12" s="39">
        <v>2</v>
      </c>
      <c r="DP12" s="39">
        <v>588</v>
      </c>
      <c r="DR12" s="39">
        <v>95</v>
      </c>
      <c r="DS12" s="39">
        <v>5.3</v>
      </c>
      <c r="DU12" s="39">
        <v>114</v>
      </c>
      <c r="DW12" s="43">
        <v>43467</v>
      </c>
      <c r="DX12" s="39">
        <v>17.8</v>
      </c>
      <c r="DY12" s="39">
        <v>16.2</v>
      </c>
      <c r="DZ12">
        <v>1</v>
      </c>
      <c r="EA12" s="39">
        <v>17.8</v>
      </c>
      <c r="EB12">
        <v>1</v>
      </c>
      <c r="EC12" s="39">
        <v>1.1499999999999999</v>
      </c>
      <c r="ED12" s="39">
        <v>1.07</v>
      </c>
      <c r="EE12">
        <v>0</v>
      </c>
      <c r="EF12" s="39">
        <v>1.1499999999999999</v>
      </c>
      <c r="EG12">
        <v>0</v>
      </c>
      <c r="EH12" s="39">
        <v>275</v>
      </c>
      <c r="EI12" s="62">
        <v>0.75272727272727302</v>
      </c>
      <c r="EJ12" s="39">
        <v>207</v>
      </c>
      <c r="EK12" s="39">
        <v>1</v>
      </c>
      <c r="EL12">
        <f t="shared" si="6"/>
        <v>-68</v>
      </c>
      <c r="EM12" s="39">
        <v>275</v>
      </c>
      <c r="EN12" s="39">
        <v>1</v>
      </c>
      <c r="ER12" s="39">
        <v>13</v>
      </c>
      <c r="ES12" s="39">
        <v>23</v>
      </c>
      <c r="ET12" s="39">
        <v>23</v>
      </c>
      <c r="EU12" s="39">
        <v>18</v>
      </c>
      <c r="EV12" s="39">
        <v>70</v>
      </c>
      <c r="EW12" s="39">
        <v>244</v>
      </c>
      <c r="EX12" s="39">
        <v>12</v>
      </c>
      <c r="EY12" s="39">
        <v>6</v>
      </c>
      <c r="FB12">
        <v>0</v>
      </c>
      <c r="FC12" s="39">
        <v>1</v>
      </c>
      <c r="FD12" s="39">
        <v>0</v>
      </c>
      <c r="FF12" s="39">
        <v>1</v>
      </c>
      <c r="FG12">
        <v>0</v>
      </c>
      <c r="FK12">
        <v>0</v>
      </c>
      <c r="FL12">
        <v>0</v>
      </c>
      <c r="FM12"/>
      <c r="FN12"/>
      <c r="FO12">
        <v>0</v>
      </c>
      <c r="FQ12" s="44">
        <v>43467</v>
      </c>
      <c r="FR12" s="44" t="s">
        <v>230</v>
      </c>
      <c r="FS12" s="45">
        <v>1</v>
      </c>
      <c r="FT12" s="45">
        <v>0</v>
      </c>
      <c r="FU12" s="45">
        <v>1</v>
      </c>
      <c r="FV12" s="45">
        <v>1</v>
      </c>
      <c r="FW12" s="45">
        <v>1</v>
      </c>
      <c r="FX12" s="45">
        <v>1</v>
      </c>
      <c r="FY12" s="45">
        <v>1</v>
      </c>
      <c r="FZ12" s="45">
        <v>1</v>
      </c>
      <c r="GA12" s="45">
        <v>1</v>
      </c>
      <c r="GB12" s="45">
        <v>1</v>
      </c>
      <c r="GC12" s="45">
        <v>1</v>
      </c>
      <c r="GD12" s="45">
        <v>1</v>
      </c>
      <c r="GE12" s="45">
        <v>0</v>
      </c>
      <c r="GF12" s="45">
        <v>0</v>
      </c>
      <c r="GG12" s="45">
        <v>0</v>
      </c>
      <c r="GH12" s="45">
        <v>0</v>
      </c>
      <c r="GI12" s="45">
        <v>0</v>
      </c>
      <c r="GJ12" s="45">
        <v>1</v>
      </c>
      <c r="GK12" s="45">
        <v>0</v>
      </c>
      <c r="GL12" s="45">
        <v>0</v>
      </c>
      <c r="GM12" s="45">
        <v>0</v>
      </c>
      <c r="GN12" s="45">
        <v>1</v>
      </c>
      <c r="GO12" s="45">
        <v>1</v>
      </c>
      <c r="GP12" s="45">
        <v>0</v>
      </c>
      <c r="GQ12" s="45">
        <v>1</v>
      </c>
      <c r="GR12" s="45">
        <v>1</v>
      </c>
      <c r="GS12" s="45">
        <v>1</v>
      </c>
      <c r="GT12" s="45">
        <v>1</v>
      </c>
      <c r="GU12" s="45">
        <v>0</v>
      </c>
      <c r="GV12" s="45">
        <v>1</v>
      </c>
      <c r="GW12" s="45">
        <v>0</v>
      </c>
      <c r="GX12" s="45" t="s">
        <v>232</v>
      </c>
      <c r="GY12" s="15">
        <v>0</v>
      </c>
      <c r="GZ12" s="15">
        <v>0</v>
      </c>
      <c r="HA12" s="45">
        <v>0</v>
      </c>
      <c r="HB12" s="45">
        <v>0</v>
      </c>
      <c r="HC12" s="45">
        <v>1</v>
      </c>
      <c r="HD12" s="45" t="s">
        <v>233</v>
      </c>
      <c r="HE12" s="45">
        <v>1</v>
      </c>
      <c r="HF12" s="45">
        <v>0</v>
      </c>
      <c r="HG12" s="45">
        <v>0</v>
      </c>
      <c r="HH12" s="45">
        <v>0</v>
      </c>
      <c r="HI12" s="45">
        <v>0</v>
      </c>
      <c r="HJ12" s="45">
        <v>1</v>
      </c>
      <c r="HK12" s="45">
        <v>0</v>
      </c>
      <c r="HL12" s="45">
        <v>1</v>
      </c>
      <c r="HM12" s="45">
        <v>1</v>
      </c>
      <c r="HN12" s="45">
        <v>0</v>
      </c>
      <c r="HO12" s="45">
        <v>1</v>
      </c>
      <c r="HP12" s="45">
        <v>0</v>
      </c>
      <c r="HQ12" s="45">
        <v>0</v>
      </c>
      <c r="HR12" s="45">
        <v>0</v>
      </c>
      <c r="HS12" s="45">
        <v>0</v>
      </c>
      <c r="HT12" s="45">
        <v>1</v>
      </c>
      <c r="HU12" s="45">
        <v>1</v>
      </c>
      <c r="HV12" s="45">
        <v>0</v>
      </c>
      <c r="HW12" s="45">
        <v>0</v>
      </c>
      <c r="HX12" s="45">
        <v>1</v>
      </c>
      <c r="HY12" s="44">
        <v>43472</v>
      </c>
      <c r="HZ12" s="45" t="s">
        <v>231</v>
      </c>
      <c r="IA12" s="45">
        <v>1</v>
      </c>
      <c r="IB12" s="45">
        <v>1</v>
      </c>
      <c r="IC12" s="45">
        <v>1</v>
      </c>
      <c r="ID12" s="45">
        <v>0</v>
      </c>
      <c r="IE12" s="45">
        <v>1</v>
      </c>
      <c r="IF12" s="45">
        <v>1</v>
      </c>
      <c r="IG12" s="45">
        <v>1</v>
      </c>
      <c r="IH12" s="45">
        <v>1</v>
      </c>
      <c r="II12" s="45">
        <v>1</v>
      </c>
      <c r="IJ12" s="45">
        <v>1</v>
      </c>
      <c r="IK12" s="45">
        <v>1</v>
      </c>
      <c r="IL12" s="45">
        <v>1</v>
      </c>
      <c r="IM12" s="45">
        <v>0</v>
      </c>
      <c r="IN12" s="45">
        <v>0</v>
      </c>
      <c r="IO12" s="45">
        <v>0</v>
      </c>
      <c r="IP12" s="45">
        <v>0</v>
      </c>
      <c r="IQ12" s="45">
        <v>0</v>
      </c>
      <c r="IR12" s="45">
        <v>1</v>
      </c>
      <c r="IS12" s="45">
        <v>0</v>
      </c>
      <c r="IT12" s="45">
        <v>0</v>
      </c>
      <c r="IU12" s="45">
        <v>0</v>
      </c>
      <c r="IV12" s="45">
        <v>1</v>
      </c>
      <c r="IW12" s="45">
        <v>1</v>
      </c>
      <c r="IX12" s="45">
        <v>0</v>
      </c>
      <c r="IY12" s="45">
        <v>1</v>
      </c>
      <c r="IZ12" s="45">
        <v>1</v>
      </c>
      <c r="JA12" s="45">
        <v>1</v>
      </c>
      <c r="JB12" s="45">
        <v>1</v>
      </c>
      <c r="JC12" s="45">
        <v>0</v>
      </c>
      <c r="JD12" s="45">
        <v>1</v>
      </c>
      <c r="JE12" s="45">
        <v>0</v>
      </c>
      <c r="JF12" s="45" t="s">
        <v>232</v>
      </c>
      <c r="JG12" s="15">
        <v>0</v>
      </c>
      <c r="JH12" s="15">
        <v>0</v>
      </c>
      <c r="JI12" s="45">
        <v>0</v>
      </c>
      <c r="JJ12" s="45">
        <v>0</v>
      </c>
      <c r="JK12" s="45">
        <v>1</v>
      </c>
      <c r="JL12" s="45" t="s">
        <v>233</v>
      </c>
      <c r="JM12" s="45">
        <v>1</v>
      </c>
      <c r="JN12" s="45"/>
      <c r="JO12" s="45">
        <v>0</v>
      </c>
      <c r="JP12" s="45">
        <v>1</v>
      </c>
      <c r="JQ12" s="45">
        <v>0</v>
      </c>
      <c r="JR12" s="45">
        <v>0</v>
      </c>
      <c r="JS12" s="45">
        <v>0</v>
      </c>
      <c r="JT12" s="45">
        <v>0</v>
      </c>
      <c r="JU12" s="45">
        <v>1</v>
      </c>
      <c r="JV12" s="45">
        <v>0</v>
      </c>
      <c r="JW12" s="45">
        <v>1</v>
      </c>
      <c r="JX12" s="45">
        <v>0</v>
      </c>
      <c r="JY12" s="45">
        <v>0</v>
      </c>
      <c r="JZ12" s="45">
        <v>0</v>
      </c>
      <c r="KA12" s="45">
        <v>0</v>
      </c>
      <c r="KB12" s="45">
        <v>1</v>
      </c>
      <c r="KC12" s="45">
        <v>1</v>
      </c>
      <c r="KD12" s="45">
        <v>0</v>
      </c>
      <c r="KE12" s="45">
        <v>0</v>
      </c>
      <c r="KF12" s="45">
        <v>1</v>
      </c>
      <c r="KG12"/>
      <c r="KH12"/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1</v>
      </c>
      <c r="LA12">
        <v>0</v>
      </c>
      <c r="LB12">
        <v>0</v>
      </c>
      <c r="LC12">
        <v>0</v>
      </c>
      <c r="LD12">
        <v>1</v>
      </c>
      <c r="LE12">
        <v>1</v>
      </c>
      <c r="LF12">
        <v>0</v>
      </c>
      <c r="LG12">
        <v>1</v>
      </c>
      <c r="LH12">
        <v>1</v>
      </c>
      <c r="LI12">
        <v>1</v>
      </c>
      <c r="LJ12">
        <v>1</v>
      </c>
      <c r="LK12">
        <v>0</v>
      </c>
      <c r="LL12">
        <v>1</v>
      </c>
      <c r="LM12">
        <v>0</v>
      </c>
      <c r="LN12"/>
      <c r="LO12">
        <v>0</v>
      </c>
      <c r="LP12">
        <v>0</v>
      </c>
      <c r="LQ12">
        <v>0</v>
      </c>
      <c r="LR12">
        <v>0</v>
      </c>
      <c r="LS12">
        <v>1</v>
      </c>
      <c r="LT12"/>
      <c r="LU12">
        <v>1</v>
      </c>
      <c r="LV12">
        <v>0</v>
      </c>
      <c r="LW12">
        <v>0</v>
      </c>
      <c r="LX12">
        <v>1</v>
      </c>
      <c r="LY12">
        <v>0</v>
      </c>
      <c r="LZ12">
        <v>1</v>
      </c>
      <c r="MA12">
        <v>0</v>
      </c>
      <c r="MB12">
        <v>1</v>
      </c>
      <c r="MC12">
        <v>1</v>
      </c>
      <c r="MD12">
        <v>0</v>
      </c>
      <c r="ME12">
        <v>1</v>
      </c>
      <c r="MF12">
        <v>0</v>
      </c>
      <c r="MG12">
        <v>0</v>
      </c>
      <c r="MH12">
        <v>0</v>
      </c>
      <c r="MI12">
        <v>0</v>
      </c>
      <c r="MJ12">
        <v>1</v>
      </c>
      <c r="MK12">
        <v>1</v>
      </c>
      <c r="ML12">
        <v>0</v>
      </c>
      <c r="MM12">
        <v>0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0</v>
      </c>
    </row>
    <row r="13" spans="1:359" s="39" customFormat="1" ht="18" x14ac:dyDescent="0.25">
      <c r="A13" t="s">
        <v>405</v>
      </c>
      <c r="B13" s="48">
        <v>57</v>
      </c>
      <c r="C13" s="40">
        <v>1</v>
      </c>
      <c r="D13" s="40">
        <v>0</v>
      </c>
      <c r="E13" s="40"/>
      <c r="F13" s="55">
        <v>574</v>
      </c>
      <c r="G13" s="55"/>
      <c r="H13" s="57">
        <v>0</v>
      </c>
      <c r="I13" s="57">
        <v>0</v>
      </c>
      <c r="J13" s="57"/>
      <c r="K13" s="40"/>
      <c r="L13" s="40"/>
      <c r="M13" s="40"/>
      <c r="N13" s="40">
        <v>0</v>
      </c>
      <c r="O13" s="42">
        <v>44353</v>
      </c>
      <c r="P13" s="64">
        <f t="shared" si="0"/>
        <v>574</v>
      </c>
      <c r="Q13" s="39">
        <v>1</v>
      </c>
      <c r="R13" s="39">
        <v>1</v>
      </c>
      <c r="S13" s="39">
        <v>0</v>
      </c>
      <c r="T13" s="39">
        <v>95</v>
      </c>
      <c r="U13" s="39">
        <v>0</v>
      </c>
      <c r="V13" s="39">
        <v>1</v>
      </c>
      <c r="W13" s="39">
        <v>0</v>
      </c>
      <c r="X13" s="39">
        <v>0</v>
      </c>
      <c r="Y13" s="39">
        <v>0</v>
      </c>
      <c r="Z13" s="39">
        <v>1</v>
      </c>
      <c r="AA13" s="39">
        <v>1</v>
      </c>
      <c r="AB13" s="39">
        <v>0</v>
      </c>
      <c r="AC13" s="39">
        <v>0</v>
      </c>
      <c r="AD13" s="39">
        <v>0</v>
      </c>
      <c r="AE13" s="39">
        <v>0</v>
      </c>
      <c r="AF13" s="39">
        <v>1</v>
      </c>
      <c r="AG13" s="39">
        <v>0</v>
      </c>
      <c r="AH13" s="39">
        <v>0</v>
      </c>
      <c r="AI13" s="39">
        <v>0</v>
      </c>
      <c r="AJ13" s="39">
        <v>0</v>
      </c>
      <c r="AK13" s="39">
        <v>0</v>
      </c>
      <c r="AL13" s="39">
        <v>0</v>
      </c>
      <c r="AM13" s="39">
        <v>0</v>
      </c>
      <c r="AN13" s="39">
        <v>70</v>
      </c>
      <c r="AO13" s="39">
        <v>165</v>
      </c>
      <c r="AP13" s="39">
        <v>25.7</v>
      </c>
      <c r="AQ13" s="39">
        <v>36.5</v>
      </c>
      <c r="AR13" s="39">
        <v>160</v>
      </c>
      <c r="AS13" s="39">
        <v>78</v>
      </c>
      <c r="AT13" s="39">
        <v>2</v>
      </c>
      <c r="AU13">
        <v>0</v>
      </c>
      <c r="AW13" s="43">
        <v>43779</v>
      </c>
      <c r="AX13" s="43">
        <v>43779</v>
      </c>
      <c r="AY13" s="39">
        <v>0</v>
      </c>
      <c r="AZ13" s="43">
        <v>43777</v>
      </c>
      <c r="BA13" s="39">
        <v>1</v>
      </c>
      <c r="BB13" s="39">
        <v>0</v>
      </c>
      <c r="BC13" s="39">
        <v>0</v>
      </c>
      <c r="BD13" s="39">
        <v>0</v>
      </c>
      <c r="BE13" s="39">
        <v>1</v>
      </c>
      <c r="BF13" s="39">
        <v>0</v>
      </c>
      <c r="BG13" s="39">
        <v>0</v>
      </c>
      <c r="BH13" s="39">
        <v>0</v>
      </c>
      <c r="BI13" s="39">
        <v>0</v>
      </c>
      <c r="BJ13">
        <v>0</v>
      </c>
      <c r="BK13">
        <v>0</v>
      </c>
      <c r="BL13">
        <v>0</v>
      </c>
      <c r="BM13" s="66">
        <v>1</v>
      </c>
      <c r="BN13">
        <v>0</v>
      </c>
      <c r="BO13">
        <v>0</v>
      </c>
      <c r="BP13" s="66">
        <f t="shared" si="8"/>
        <v>1</v>
      </c>
      <c r="BQ13">
        <v>0</v>
      </c>
      <c r="BR13">
        <v>0</v>
      </c>
      <c r="BS13">
        <v>0</v>
      </c>
      <c r="BT13">
        <v>0</v>
      </c>
      <c r="BU13" s="66">
        <f t="shared" si="9"/>
        <v>1</v>
      </c>
      <c r="BV13">
        <v>0</v>
      </c>
      <c r="BW13">
        <v>0</v>
      </c>
      <c r="BX13" s="66">
        <f t="shared" si="3"/>
        <v>1</v>
      </c>
      <c r="BY13">
        <v>0</v>
      </c>
      <c r="BZ13">
        <f t="shared" si="4"/>
        <v>0</v>
      </c>
      <c r="CA13" s="39">
        <v>0</v>
      </c>
      <c r="CB13" s="39">
        <v>0</v>
      </c>
      <c r="CC13" s="39">
        <v>2</v>
      </c>
      <c r="CD13" s="39">
        <v>0</v>
      </c>
      <c r="CE13" s="39">
        <v>0</v>
      </c>
      <c r="CF13" s="39">
        <v>0</v>
      </c>
      <c r="CG13" s="39">
        <v>0</v>
      </c>
      <c r="CH13" s="39">
        <v>0</v>
      </c>
      <c r="CI13" s="39">
        <v>0</v>
      </c>
      <c r="CJ13" s="39">
        <v>0</v>
      </c>
      <c r="CK13" s="39">
        <v>0</v>
      </c>
      <c r="CL13" s="39">
        <v>0</v>
      </c>
      <c r="CM13" s="39">
        <v>0</v>
      </c>
      <c r="CN13" s="39">
        <v>0</v>
      </c>
      <c r="CO13">
        <f t="shared" si="7"/>
        <v>0</v>
      </c>
      <c r="CP13" s="39">
        <v>0</v>
      </c>
      <c r="CQ13" s="39">
        <v>0</v>
      </c>
      <c r="CR13" s="39">
        <v>1</v>
      </c>
      <c r="CS13" s="39">
        <v>0</v>
      </c>
      <c r="CT13" s="39">
        <v>0</v>
      </c>
      <c r="CU13" s="39">
        <v>0</v>
      </c>
      <c r="CV13" s="39">
        <v>0</v>
      </c>
      <c r="CW13" s="31"/>
      <c r="CX13" s="39">
        <v>1</v>
      </c>
      <c r="CY13">
        <v>0</v>
      </c>
      <c r="DA13" s="43">
        <v>43780</v>
      </c>
      <c r="DB13" s="66">
        <f t="shared" si="5"/>
        <v>3</v>
      </c>
      <c r="DC13" s="39" t="s">
        <v>1</v>
      </c>
      <c r="DD13" s="39">
        <v>0</v>
      </c>
      <c r="DE13" s="43">
        <v>43782</v>
      </c>
      <c r="DF13" s="39">
        <v>3</v>
      </c>
      <c r="DG13" s="43">
        <v>43780</v>
      </c>
      <c r="DH13" s="39">
        <v>13</v>
      </c>
      <c r="DI13" s="39">
        <v>15.2</v>
      </c>
      <c r="DJ13" s="39">
        <v>1.9</v>
      </c>
      <c r="DK13" s="80">
        <v>139</v>
      </c>
      <c r="DL13" s="39">
        <v>4</v>
      </c>
      <c r="DM13" s="39">
        <v>56</v>
      </c>
      <c r="DN13" s="39">
        <v>23061</v>
      </c>
      <c r="DO13" s="39">
        <v>1</v>
      </c>
      <c r="DP13" s="39">
        <v>139</v>
      </c>
      <c r="DQ13" s="39">
        <v>23061</v>
      </c>
      <c r="DR13" s="39">
        <v>48</v>
      </c>
      <c r="DS13" s="39">
        <v>5</v>
      </c>
      <c r="DU13" s="39">
        <v>64</v>
      </c>
      <c r="DW13" s="43">
        <v>43779</v>
      </c>
      <c r="DX13" s="39">
        <v>19.399999999999999</v>
      </c>
      <c r="DY13" s="39">
        <v>10.199999999999999</v>
      </c>
      <c r="DZ13">
        <v>0</v>
      </c>
      <c r="EA13" s="39">
        <v>19.399999999999999</v>
      </c>
      <c r="EB13">
        <v>1</v>
      </c>
      <c r="EC13" s="39">
        <v>1.3</v>
      </c>
      <c r="ED13" s="39">
        <v>0.82</v>
      </c>
      <c r="EE13">
        <v>0</v>
      </c>
      <c r="EF13" s="39">
        <v>1.4</v>
      </c>
      <c r="EG13">
        <v>0</v>
      </c>
      <c r="EH13" s="39">
        <v>121</v>
      </c>
      <c r="EI13" s="62">
        <v>0.77685950413223104</v>
      </c>
      <c r="EJ13" s="39">
        <v>94</v>
      </c>
      <c r="EK13">
        <v>0</v>
      </c>
      <c r="EL13">
        <f t="shared" si="6"/>
        <v>-27</v>
      </c>
      <c r="EM13" s="39">
        <v>121</v>
      </c>
      <c r="EN13">
        <v>0</v>
      </c>
      <c r="EO13" s="39">
        <v>0.14000000000000001</v>
      </c>
      <c r="ER13" s="39">
        <v>21</v>
      </c>
      <c r="ET13" s="39">
        <v>30</v>
      </c>
      <c r="EU13" s="39">
        <v>16</v>
      </c>
      <c r="EV13" s="39">
        <v>266</v>
      </c>
      <c r="EW13" s="39">
        <v>110</v>
      </c>
      <c r="EX13" s="39">
        <v>30</v>
      </c>
      <c r="EY13" s="39">
        <v>13</v>
      </c>
      <c r="FB13">
        <v>1</v>
      </c>
      <c r="FC13" s="39">
        <v>1</v>
      </c>
      <c r="FD13" s="39">
        <v>0</v>
      </c>
      <c r="FF13" s="39">
        <v>1</v>
      </c>
      <c r="FG13">
        <v>0</v>
      </c>
      <c r="FK13">
        <v>0</v>
      </c>
      <c r="FL13">
        <v>0</v>
      </c>
      <c r="FM13"/>
      <c r="FN13"/>
      <c r="FO13">
        <v>0</v>
      </c>
      <c r="FQ13" s="44">
        <v>43779</v>
      </c>
      <c r="FR13" s="49" t="s">
        <v>230</v>
      </c>
      <c r="FS13" s="45">
        <v>1</v>
      </c>
      <c r="FT13" s="45">
        <v>1</v>
      </c>
      <c r="FU13" s="45">
        <v>1</v>
      </c>
      <c r="FV13" s="45">
        <v>1</v>
      </c>
      <c r="FW13" s="45">
        <v>1</v>
      </c>
      <c r="FX13" s="45">
        <v>0</v>
      </c>
      <c r="FY13" s="45">
        <v>0</v>
      </c>
      <c r="FZ13" s="45">
        <v>0</v>
      </c>
      <c r="GA13" s="45">
        <v>0</v>
      </c>
      <c r="GB13" s="45">
        <v>1</v>
      </c>
      <c r="GC13" s="45">
        <v>0</v>
      </c>
      <c r="GD13" s="45">
        <v>0</v>
      </c>
      <c r="GE13" s="45">
        <v>1</v>
      </c>
      <c r="GF13" s="45">
        <v>1</v>
      </c>
      <c r="GG13" s="45">
        <v>1</v>
      </c>
      <c r="GH13" s="45">
        <v>1</v>
      </c>
      <c r="GI13" s="45">
        <v>1</v>
      </c>
      <c r="GJ13" s="45">
        <v>0</v>
      </c>
      <c r="GK13" s="45">
        <v>0</v>
      </c>
      <c r="GL13" s="45">
        <v>1</v>
      </c>
      <c r="GM13" s="45">
        <v>0</v>
      </c>
      <c r="GN13" s="45">
        <v>0</v>
      </c>
      <c r="GO13" s="45">
        <v>0</v>
      </c>
      <c r="GP13" s="45">
        <v>0</v>
      </c>
      <c r="GQ13" s="45">
        <v>0</v>
      </c>
      <c r="GR13" s="45">
        <v>0</v>
      </c>
      <c r="GS13" s="45">
        <v>0</v>
      </c>
      <c r="GT13" s="45">
        <v>0</v>
      </c>
      <c r="GU13" s="45">
        <v>1</v>
      </c>
      <c r="GV13" s="45">
        <v>0</v>
      </c>
      <c r="GW13" s="45">
        <v>0</v>
      </c>
      <c r="GX13" s="45">
        <v>0</v>
      </c>
      <c r="GY13" s="15">
        <v>0</v>
      </c>
      <c r="GZ13" s="15">
        <v>0</v>
      </c>
      <c r="HA13" s="45">
        <v>0</v>
      </c>
      <c r="HB13" s="45">
        <v>1</v>
      </c>
      <c r="HC13" s="45">
        <v>0</v>
      </c>
      <c r="HD13" s="45">
        <v>0</v>
      </c>
      <c r="HE13" s="15">
        <v>0</v>
      </c>
      <c r="HF13" s="15">
        <v>0</v>
      </c>
      <c r="HG13" s="45">
        <v>0</v>
      </c>
      <c r="HH13" s="45">
        <v>1</v>
      </c>
      <c r="HI13" s="45">
        <v>1</v>
      </c>
      <c r="HJ13" s="45">
        <v>1</v>
      </c>
      <c r="HK13" s="45">
        <v>0</v>
      </c>
      <c r="HL13" s="45">
        <v>1</v>
      </c>
      <c r="HM13" s="45">
        <v>0</v>
      </c>
      <c r="HN13" s="45">
        <v>0</v>
      </c>
      <c r="HO13" s="45">
        <v>1</v>
      </c>
      <c r="HP13" s="45">
        <v>0</v>
      </c>
      <c r="HQ13" s="45">
        <v>0</v>
      </c>
      <c r="HR13" s="45">
        <v>0</v>
      </c>
      <c r="HS13" s="45">
        <v>0</v>
      </c>
      <c r="HT13" s="45">
        <v>1</v>
      </c>
      <c r="HU13" s="45">
        <v>1</v>
      </c>
      <c r="HV13" s="45">
        <v>0</v>
      </c>
      <c r="HW13" s="45">
        <v>0</v>
      </c>
      <c r="HX13" s="45">
        <v>0</v>
      </c>
      <c r="HY13" s="44">
        <v>43882</v>
      </c>
      <c r="HZ13" s="45" t="s">
        <v>231</v>
      </c>
      <c r="IA13" s="45">
        <v>1</v>
      </c>
      <c r="IB13" s="45">
        <v>1</v>
      </c>
      <c r="IC13" s="45">
        <v>1</v>
      </c>
      <c r="ID13" s="45">
        <v>0</v>
      </c>
      <c r="IE13" s="45">
        <v>0</v>
      </c>
      <c r="IF13" s="45">
        <v>0</v>
      </c>
      <c r="IG13" s="45">
        <v>0</v>
      </c>
      <c r="IH13" s="45">
        <v>0</v>
      </c>
      <c r="II13" s="45">
        <v>0</v>
      </c>
      <c r="IJ13" s="45">
        <v>0</v>
      </c>
      <c r="IK13" s="45">
        <v>0</v>
      </c>
      <c r="IL13" s="45">
        <v>0</v>
      </c>
      <c r="IM13" s="45">
        <v>0</v>
      </c>
      <c r="IN13" s="45">
        <v>0</v>
      </c>
      <c r="IO13" s="45">
        <v>0</v>
      </c>
      <c r="IP13" s="45">
        <v>0</v>
      </c>
      <c r="IQ13" s="45">
        <v>1</v>
      </c>
      <c r="IR13" s="45">
        <v>0</v>
      </c>
      <c r="IS13" s="45">
        <v>0</v>
      </c>
      <c r="IT13" s="45">
        <v>1</v>
      </c>
      <c r="IU13" s="45">
        <v>0</v>
      </c>
      <c r="IV13" s="45">
        <v>0</v>
      </c>
      <c r="IW13" s="45">
        <v>0</v>
      </c>
      <c r="IX13" s="45">
        <v>0</v>
      </c>
      <c r="IY13" s="45">
        <v>0</v>
      </c>
      <c r="IZ13" s="45">
        <v>0</v>
      </c>
      <c r="JA13" s="45">
        <v>0</v>
      </c>
      <c r="JB13" s="45">
        <v>0</v>
      </c>
      <c r="JC13" s="45">
        <v>1</v>
      </c>
      <c r="JD13" s="45">
        <v>0</v>
      </c>
      <c r="JE13" s="45">
        <v>0</v>
      </c>
      <c r="JF13" s="45">
        <v>0</v>
      </c>
      <c r="JG13" s="15">
        <v>0</v>
      </c>
      <c r="JH13" s="15">
        <v>0</v>
      </c>
      <c r="JI13" s="45">
        <v>0</v>
      </c>
      <c r="JJ13" s="45">
        <v>1</v>
      </c>
      <c r="JK13" s="45">
        <v>0</v>
      </c>
      <c r="JL13" s="45">
        <v>0</v>
      </c>
      <c r="JM13" s="15">
        <v>0</v>
      </c>
      <c r="JN13" s="15">
        <v>0</v>
      </c>
      <c r="JO13" s="45">
        <v>0</v>
      </c>
      <c r="JP13" s="45">
        <v>0</v>
      </c>
      <c r="JQ13" s="45">
        <v>0</v>
      </c>
      <c r="JR13" s="45">
        <v>0</v>
      </c>
      <c r="JS13" s="45">
        <v>0</v>
      </c>
      <c r="JT13" s="45">
        <v>0</v>
      </c>
      <c r="JU13" s="45">
        <v>0</v>
      </c>
      <c r="JV13" s="45">
        <v>0</v>
      </c>
      <c r="JW13" s="45">
        <v>0</v>
      </c>
      <c r="JX13" s="45">
        <v>0</v>
      </c>
      <c r="JY13" s="45">
        <v>0</v>
      </c>
      <c r="JZ13" s="45">
        <v>0</v>
      </c>
      <c r="KA13" s="45">
        <v>0</v>
      </c>
      <c r="KB13" s="45">
        <v>0</v>
      </c>
      <c r="KC13" s="45">
        <v>0</v>
      </c>
      <c r="KD13" s="45">
        <v>0</v>
      </c>
      <c r="KE13" s="45">
        <v>0</v>
      </c>
      <c r="KF13" s="45">
        <v>0</v>
      </c>
      <c r="KG13"/>
      <c r="KH13"/>
      <c r="KI13">
        <v>1</v>
      </c>
      <c r="KJ13">
        <v>1</v>
      </c>
      <c r="KK13">
        <v>1</v>
      </c>
      <c r="KL13">
        <v>1</v>
      </c>
      <c r="KM13">
        <v>1</v>
      </c>
      <c r="KN13">
        <v>0</v>
      </c>
      <c r="KO13">
        <v>0</v>
      </c>
      <c r="KP13">
        <v>0</v>
      </c>
      <c r="KQ13">
        <v>0</v>
      </c>
      <c r="KR13">
        <v>1</v>
      </c>
      <c r="KS13">
        <v>0</v>
      </c>
      <c r="KT13">
        <v>0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0</v>
      </c>
      <c r="LA13">
        <v>0</v>
      </c>
      <c r="LB13">
        <v>1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1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1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1</v>
      </c>
      <c r="LY13">
        <v>1</v>
      </c>
      <c r="LZ13">
        <v>1</v>
      </c>
      <c r="MA13">
        <v>0</v>
      </c>
      <c r="MB13">
        <v>1</v>
      </c>
      <c r="MC13">
        <v>0</v>
      </c>
      <c r="MD13">
        <v>0</v>
      </c>
      <c r="ME13">
        <v>1</v>
      </c>
      <c r="MF13">
        <v>0</v>
      </c>
      <c r="MG13">
        <v>0</v>
      </c>
      <c r="MH13">
        <v>0</v>
      </c>
      <c r="MI13">
        <v>0</v>
      </c>
      <c r="MJ13">
        <v>1</v>
      </c>
      <c r="MK13">
        <v>1</v>
      </c>
      <c r="ML13">
        <v>0</v>
      </c>
      <c r="MM13">
        <v>0</v>
      </c>
      <c r="MN13">
        <v>0</v>
      </c>
      <c r="MO13">
        <v>1</v>
      </c>
      <c r="MP13">
        <v>0</v>
      </c>
      <c r="MQ13">
        <v>1</v>
      </c>
      <c r="MR13">
        <v>1</v>
      </c>
      <c r="MS13">
        <v>0</v>
      </c>
      <c r="MT13">
        <v>0</v>
      </c>
    </row>
    <row r="14" spans="1:359" ht="18" x14ac:dyDescent="0.25">
      <c r="A14" t="s">
        <v>406</v>
      </c>
      <c r="B14" s="3">
        <v>58</v>
      </c>
      <c r="C14" s="3">
        <v>0</v>
      </c>
      <c r="D14" s="3">
        <v>0</v>
      </c>
      <c r="E14" s="3"/>
      <c r="F14" s="55">
        <v>449</v>
      </c>
      <c r="G14" s="55"/>
      <c r="H14" s="57">
        <v>0</v>
      </c>
      <c r="I14" s="57">
        <v>0</v>
      </c>
      <c r="J14" s="57"/>
      <c r="K14" s="3"/>
      <c r="L14" s="3"/>
      <c r="M14" s="3"/>
      <c r="N14" s="3">
        <v>0</v>
      </c>
      <c r="O14" s="2">
        <v>45005</v>
      </c>
      <c r="P14" s="64">
        <f t="shared" si="0"/>
        <v>449</v>
      </c>
      <c r="Q14">
        <v>1</v>
      </c>
      <c r="R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68</v>
      </c>
      <c r="AW14" s="1">
        <v>44556</v>
      </c>
      <c r="AX14" s="1">
        <v>44556</v>
      </c>
      <c r="AY14">
        <v>0</v>
      </c>
      <c r="BA14">
        <v>1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 s="66">
        <v>0</v>
      </c>
      <c r="BN14">
        <v>0</v>
      </c>
      <c r="BO14">
        <v>0</v>
      </c>
      <c r="BP14" s="66">
        <f t="shared" si="8"/>
        <v>0</v>
      </c>
      <c r="BQ14">
        <v>0</v>
      </c>
      <c r="BR14">
        <v>0</v>
      </c>
      <c r="BS14">
        <v>0</v>
      </c>
      <c r="BT14">
        <v>0</v>
      </c>
      <c r="BU14" s="66">
        <f t="shared" si="9"/>
        <v>0</v>
      </c>
      <c r="BV14">
        <v>0</v>
      </c>
      <c r="BW14">
        <v>0</v>
      </c>
      <c r="BX14" s="66">
        <f t="shared" si="3"/>
        <v>0</v>
      </c>
      <c r="BY14">
        <v>0</v>
      </c>
      <c r="BZ14">
        <f t="shared" si="4"/>
        <v>0</v>
      </c>
      <c r="CA14">
        <v>0</v>
      </c>
      <c r="CB14">
        <v>0</v>
      </c>
      <c r="CC14">
        <v>2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0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0</v>
      </c>
      <c r="CQ14">
        <v>1</v>
      </c>
      <c r="CR14">
        <v>0</v>
      </c>
      <c r="CS14">
        <v>0</v>
      </c>
      <c r="CT14">
        <v>0</v>
      </c>
      <c r="CU14">
        <v>0</v>
      </c>
      <c r="CV14">
        <v>0</v>
      </c>
      <c r="CW14" s="31"/>
      <c r="CX14">
        <v>1</v>
      </c>
      <c r="DB14" s="66">
        <f t="shared" si="5"/>
        <v>0</v>
      </c>
      <c r="DD14">
        <v>0</v>
      </c>
      <c r="DG14" s="1">
        <v>44621</v>
      </c>
      <c r="DH14">
        <v>14</v>
      </c>
      <c r="DI14">
        <v>3.8</v>
      </c>
      <c r="DJ14">
        <v>1.7</v>
      </c>
      <c r="DK14" s="66">
        <v>216</v>
      </c>
      <c r="DL14">
        <v>4</v>
      </c>
      <c r="DM14">
        <v>122</v>
      </c>
      <c r="DO14">
        <v>1</v>
      </c>
      <c r="DP14">
        <v>216</v>
      </c>
      <c r="DW14" s="1">
        <v>44556</v>
      </c>
      <c r="DX14">
        <v>11.1</v>
      </c>
      <c r="DY14">
        <v>4.7</v>
      </c>
      <c r="DZ14">
        <v>0</v>
      </c>
      <c r="EA14">
        <v>11</v>
      </c>
      <c r="EB14">
        <v>0</v>
      </c>
      <c r="EC14">
        <v>2.1</v>
      </c>
      <c r="ED14">
        <v>0.8</v>
      </c>
      <c r="EE14">
        <v>0</v>
      </c>
      <c r="EF14">
        <v>2.1</v>
      </c>
      <c r="EG14">
        <v>1</v>
      </c>
      <c r="EH14">
        <v>2</v>
      </c>
      <c r="EI14" s="62">
        <v>1</v>
      </c>
      <c r="EJ14">
        <v>2</v>
      </c>
      <c r="EK14">
        <v>0</v>
      </c>
      <c r="EL14">
        <f t="shared" si="6"/>
        <v>0</v>
      </c>
      <c r="EM14">
        <v>2</v>
      </c>
      <c r="EN14">
        <v>0</v>
      </c>
      <c r="EO14">
        <v>0.06</v>
      </c>
      <c r="FC14">
        <v>0</v>
      </c>
      <c r="FF14">
        <v>0</v>
      </c>
      <c r="FG14">
        <v>0</v>
      </c>
      <c r="FI14"/>
      <c r="FK14">
        <v>0</v>
      </c>
      <c r="FL14">
        <v>0</v>
      </c>
      <c r="FO14">
        <v>0</v>
      </c>
      <c r="FQ14" s="22">
        <v>44556</v>
      </c>
      <c r="FR14" s="15" t="s">
        <v>230</v>
      </c>
      <c r="FS14" s="15">
        <v>1</v>
      </c>
      <c r="FT14" s="15">
        <v>1</v>
      </c>
      <c r="FU14" s="15">
        <v>1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1</v>
      </c>
      <c r="GE14" s="15">
        <v>0</v>
      </c>
      <c r="GF14" s="15">
        <v>0</v>
      </c>
      <c r="GG14" s="15">
        <v>0</v>
      </c>
      <c r="GH14" s="15">
        <v>0</v>
      </c>
      <c r="GI14" s="15">
        <v>1</v>
      </c>
      <c r="GJ14" s="15">
        <v>0</v>
      </c>
      <c r="GK14" s="15">
        <v>0</v>
      </c>
      <c r="GL14" s="15">
        <v>1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1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1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1</v>
      </c>
      <c r="HK14" s="15">
        <v>0</v>
      </c>
      <c r="HL14" s="15">
        <v>0</v>
      </c>
      <c r="HM14" s="15">
        <v>0</v>
      </c>
      <c r="HN14" s="15">
        <v>0</v>
      </c>
      <c r="HO14" s="15">
        <v>1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1</v>
      </c>
      <c r="HV14" s="15">
        <v>0</v>
      </c>
      <c r="HW14" s="15">
        <v>0</v>
      </c>
      <c r="HX14" s="15">
        <v>0</v>
      </c>
      <c r="HY14" s="22">
        <v>44558</v>
      </c>
      <c r="HZ14" s="15" t="s">
        <v>230</v>
      </c>
      <c r="IA14" s="15">
        <v>1</v>
      </c>
      <c r="IB14" s="15">
        <v>1</v>
      </c>
      <c r="IC14" s="15">
        <v>1</v>
      </c>
      <c r="ID14" s="15">
        <v>0</v>
      </c>
      <c r="IE14" s="15">
        <v>0</v>
      </c>
      <c r="IF14" s="15">
        <v>0</v>
      </c>
      <c r="IG14" s="15">
        <v>0</v>
      </c>
      <c r="IH14" s="15">
        <v>0</v>
      </c>
      <c r="II14" s="15">
        <v>0</v>
      </c>
      <c r="IJ14" s="15">
        <v>0</v>
      </c>
      <c r="IK14" s="15">
        <v>0</v>
      </c>
      <c r="IL14" s="15">
        <v>0</v>
      </c>
      <c r="IM14" s="15">
        <v>0</v>
      </c>
      <c r="IN14" s="15">
        <v>0</v>
      </c>
      <c r="IO14" s="15">
        <v>0</v>
      </c>
      <c r="IP14" s="15">
        <v>0</v>
      </c>
      <c r="IQ14" s="15">
        <v>1</v>
      </c>
      <c r="IR14" s="15">
        <v>0</v>
      </c>
      <c r="IS14" s="15">
        <v>0</v>
      </c>
      <c r="IT14" s="15">
        <v>1</v>
      </c>
      <c r="IU14" s="15">
        <v>0</v>
      </c>
      <c r="IV14" s="15">
        <v>0</v>
      </c>
      <c r="IW14" s="15">
        <v>0</v>
      </c>
      <c r="IX14" s="15">
        <v>0</v>
      </c>
      <c r="IY14" s="15">
        <v>0</v>
      </c>
      <c r="IZ14" s="15">
        <v>0</v>
      </c>
      <c r="JA14" s="15">
        <v>0</v>
      </c>
      <c r="JB14" s="15">
        <v>0</v>
      </c>
      <c r="JC14" s="15">
        <v>1</v>
      </c>
      <c r="JD14" s="15">
        <v>0</v>
      </c>
      <c r="JE14" s="15">
        <v>0</v>
      </c>
      <c r="JF14" s="15">
        <v>0</v>
      </c>
      <c r="JG14" s="15">
        <v>0</v>
      </c>
      <c r="JH14" s="15">
        <v>0</v>
      </c>
      <c r="JI14" s="15">
        <v>0</v>
      </c>
      <c r="JJ14" s="15">
        <v>1</v>
      </c>
      <c r="JK14" s="15">
        <v>0</v>
      </c>
      <c r="JL14" s="15">
        <v>0</v>
      </c>
      <c r="JM14" s="15">
        <v>0</v>
      </c>
      <c r="JN14" s="15">
        <v>0</v>
      </c>
      <c r="JO14" s="15">
        <v>0</v>
      </c>
      <c r="JP14" s="15">
        <v>0</v>
      </c>
      <c r="JQ14" s="15">
        <v>0</v>
      </c>
      <c r="JR14" s="15">
        <v>0</v>
      </c>
      <c r="JS14" s="15">
        <v>0</v>
      </c>
      <c r="JT14" s="15">
        <v>0</v>
      </c>
      <c r="JU14" s="15">
        <v>0</v>
      </c>
      <c r="JV14" s="15">
        <v>0</v>
      </c>
      <c r="JW14" s="15">
        <v>1</v>
      </c>
      <c r="JX14" s="15">
        <v>0</v>
      </c>
      <c r="JY14" s="15">
        <v>0</v>
      </c>
      <c r="JZ14" s="15">
        <v>0</v>
      </c>
      <c r="KA14" s="15">
        <v>0</v>
      </c>
      <c r="KB14" s="15">
        <v>0</v>
      </c>
      <c r="KC14" s="15">
        <v>1</v>
      </c>
      <c r="KD14" s="15">
        <v>0</v>
      </c>
      <c r="KE14" s="15">
        <v>0</v>
      </c>
      <c r="KF14" s="15">
        <v>0</v>
      </c>
      <c r="KI14">
        <v>1</v>
      </c>
      <c r="KJ14">
        <v>1</v>
      </c>
      <c r="KK14">
        <v>1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1</v>
      </c>
      <c r="KU14">
        <v>0</v>
      </c>
      <c r="KV14">
        <v>0</v>
      </c>
      <c r="KW14">
        <v>0</v>
      </c>
      <c r="KX14">
        <v>0</v>
      </c>
      <c r="KY14">
        <v>1</v>
      </c>
      <c r="KZ14">
        <v>0</v>
      </c>
      <c r="LA14">
        <v>0</v>
      </c>
      <c r="LB14">
        <v>1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1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1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1</v>
      </c>
      <c r="MA14">
        <v>0</v>
      </c>
      <c r="MB14">
        <v>0</v>
      </c>
      <c r="MC14">
        <v>0</v>
      </c>
      <c r="MD14">
        <v>0</v>
      </c>
      <c r="ME14">
        <v>1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1</v>
      </c>
      <c r="ML14">
        <v>0</v>
      </c>
      <c r="MM14">
        <v>0</v>
      </c>
      <c r="MN14">
        <v>0</v>
      </c>
      <c r="MO14">
        <v>1</v>
      </c>
      <c r="MP14">
        <v>0</v>
      </c>
      <c r="MQ14">
        <v>1</v>
      </c>
      <c r="MR14">
        <v>1</v>
      </c>
      <c r="MS14">
        <v>0</v>
      </c>
    </row>
    <row r="15" spans="1:359" s="39" customFormat="1" ht="18" x14ac:dyDescent="0.25">
      <c r="A15" t="s">
        <v>407</v>
      </c>
      <c r="B15" s="40">
        <v>33</v>
      </c>
      <c r="C15" s="40">
        <v>0</v>
      </c>
      <c r="D15" s="40">
        <v>1</v>
      </c>
      <c r="E15" s="41">
        <v>43421</v>
      </c>
      <c r="F15" s="61">
        <v>1</v>
      </c>
      <c r="G15" s="61"/>
      <c r="H15" s="57">
        <v>1</v>
      </c>
      <c r="I15" s="57">
        <v>1</v>
      </c>
      <c r="J15" s="57">
        <v>0</v>
      </c>
      <c r="K15" s="42">
        <v>43420</v>
      </c>
      <c r="L15" s="65">
        <v>1</v>
      </c>
      <c r="M15" s="42">
        <v>43594</v>
      </c>
      <c r="N15" s="40">
        <v>0</v>
      </c>
      <c r="O15" s="42">
        <v>43676</v>
      </c>
      <c r="P15" s="64">
        <f t="shared" si="0"/>
        <v>256</v>
      </c>
      <c r="Q15" s="39">
        <v>3</v>
      </c>
      <c r="R15" s="39">
        <v>1</v>
      </c>
      <c r="S15" s="39">
        <v>0</v>
      </c>
      <c r="T15" s="39">
        <v>91</v>
      </c>
      <c r="U15" s="39">
        <v>0</v>
      </c>
      <c r="V15" s="39">
        <v>1</v>
      </c>
      <c r="W15" s="39">
        <v>0</v>
      </c>
      <c r="X15" s="39">
        <v>0</v>
      </c>
      <c r="Y15" s="39">
        <v>0</v>
      </c>
      <c r="Z15" s="39">
        <v>0</v>
      </c>
      <c r="AA15" s="39">
        <v>0</v>
      </c>
      <c r="AB15" s="39">
        <v>0</v>
      </c>
      <c r="AC15" s="39">
        <v>0</v>
      </c>
      <c r="AD15" s="39">
        <v>0</v>
      </c>
      <c r="AE15" s="39">
        <v>0</v>
      </c>
      <c r="AF15" s="39">
        <v>0</v>
      </c>
      <c r="AG15" s="39">
        <v>0</v>
      </c>
      <c r="AH15" s="39">
        <v>0</v>
      </c>
      <c r="AI15" s="39">
        <v>0</v>
      </c>
      <c r="AJ15" s="39">
        <v>0</v>
      </c>
      <c r="AK15" s="39">
        <v>0</v>
      </c>
      <c r="AL15" s="39">
        <v>0</v>
      </c>
      <c r="AM15" s="39">
        <v>1</v>
      </c>
      <c r="AN15" s="39">
        <v>157</v>
      </c>
      <c r="AO15" s="39">
        <v>200</v>
      </c>
      <c r="AP15" s="39">
        <v>39.200000000000003</v>
      </c>
      <c r="AQ15" s="39">
        <v>37.4</v>
      </c>
      <c r="AR15" s="39">
        <v>170</v>
      </c>
      <c r="AS15" s="39">
        <v>80</v>
      </c>
      <c r="AT15" s="39">
        <v>3</v>
      </c>
      <c r="AU15">
        <v>1</v>
      </c>
      <c r="AV15" s="39">
        <v>85</v>
      </c>
      <c r="AW15" s="43">
        <v>43420</v>
      </c>
      <c r="AX15" s="43">
        <v>43420</v>
      </c>
      <c r="AY15" s="39">
        <v>0</v>
      </c>
      <c r="AZ15" s="43">
        <v>42688</v>
      </c>
      <c r="BA15" s="39">
        <v>1</v>
      </c>
      <c r="BB15" s="39">
        <v>1</v>
      </c>
      <c r="BC15" s="39">
        <v>0</v>
      </c>
      <c r="BD15" s="39">
        <v>0</v>
      </c>
      <c r="BE15" s="39">
        <v>0</v>
      </c>
      <c r="BF15" s="39">
        <v>1</v>
      </c>
      <c r="BG15" s="39">
        <v>0</v>
      </c>
      <c r="BH15" s="39">
        <v>1</v>
      </c>
      <c r="BI15" s="39">
        <v>1</v>
      </c>
      <c r="BJ15">
        <v>0</v>
      </c>
      <c r="BK15">
        <v>0</v>
      </c>
      <c r="BL15">
        <v>0</v>
      </c>
      <c r="BM15" s="66">
        <v>0</v>
      </c>
      <c r="BN15" s="39">
        <v>1</v>
      </c>
      <c r="BO15">
        <v>0</v>
      </c>
      <c r="BP15" s="66">
        <f t="shared" si="8"/>
        <v>1</v>
      </c>
      <c r="BQ15">
        <v>0</v>
      </c>
      <c r="BR15">
        <v>0</v>
      </c>
      <c r="BS15">
        <v>0</v>
      </c>
      <c r="BT15">
        <v>0</v>
      </c>
      <c r="BU15" s="66">
        <f t="shared" si="9"/>
        <v>0</v>
      </c>
      <c r="BV15" s="39">
        <v>1</v>
      </c>
      <c r="BW15">
        <v>0</v>
      </c>
      <c r="BX15" s="66">
        <f t="shared" si="3"/>
        <v>1</v>
      </c>
      <c r="BY15">
        <v>0</v>
      </c>
      <c r="BZ15">
        <f t="shared" si="4"/>
        <v>0</v>
      </c>
      <c r="CA15" s="39">
        <v>1</v>
      </c>
      <c r="CB15" s="39">
        <v>0</v>
      </c>
      <c r="CD15" s="39">
        <v>0</v>
      </c>
      <c r="CE15" s="39">
        <v>0</v>
      </c>
      <c r="CF15" s="39">
        <v>0</v>
      </c>
      <c r="CG15" s="39">
        <v>0</v>
      </c>
      <c r="CH15" s="39">
        <v>0</v>
      </c>
      <c r="CI15" s="39">
        <v>0</v>
      </c>
      <c r="CJ15" s="39">
        <v>0</v>
      </c>
      <c r="CK15" s="39">
        <v>0</v>
      </c>
      <c r="CL15" s="39">
        <v>0</v>
      </c>
      <c r="CM15" s="39">
        <v>0</v>
      </c>
      <c r="CN15" s="39">
        <v>0</v>
      </c>
      <c r="CO15">
        <f t="shared" si="7"/>
        <v>0</v>
      </c>
      <c r="CP15" s="39">
        <v>1</v>
      </c>
      <c r="CQ15" s="39">
        <v>0</v>
      </c>
      <c r="CR15" s="39">
        <v>0</v>
      </c>
      <c r="CS15" s="39">
        <v>0</v>
      </c>
      <c r="CT15" s="39">
        <v>0</v>
      </c>
      <c r="CU15" s="39">
        <v>0</v>
      </c>
      <c r="CV15" s="39">
        <v>1</v>
      </c>
      <c r="CW15" s="31"/>
      <c r="CY15">
        <v>0</v>
      </c>
      <c r="DA15" s="43">
        <v>43420</v>
      </c>
      <c r="DB15" s="66">
        <f t="shared" si="5"/>
        <v>732</v>
      </c>
      <c r="DC15" s="39" t="s">
        <v>3</v>
      </c>
      <c r="DD15" s="39">
        <v>0</v>
      </c>
      <c r="DE15" s="43">
        <v>43420</v>
      </c>
      <c r="DF15" s="39">
        <v>1</v>
      </c>
      <c r="DG15" s="43">
        <v>43420</v>
      </c>
      <c r="DH15" s="39">
        <v>16</v>
      </c>
      <c r="DI15" s="39">
        <v>12.2</v>
      </c>
      <c r="DJ15" s="39">
        <v>4</v>
      </c>
      <c r="DK15" s="80">
        <v>165</v>
      </c>
      <c r="DL15" s="39">
        <v>2</v>
      </c>
      <c r="DM15" s="39">
        <v>51</v>
      </c>
      <c r="DO15" s="39">
        <v>2</v>
      </c>
      <c r="DP15" s="39">
        <v>165</v>
      </c>
      <c r="DR15" s="39">
        <v>112</v>
      </c>
      <c r="DS15" s="39">
        <v>5.5</v>
      </c>
      <c r="DU15" s="39">
        <v>48</v>
      </c>
      <c r="DW15" s="43">
        <v>43420</v>
      </c>
      <c r="DX15" s="39">
        <v>14</v>
      </c>
      <c r="DY15" s="39">
        <v>12.6</v>
      </c>
      <c r="DZ15">
        <v>1</v>
      </c>
      <c r="EA15" s="39">
        <v>19</v>
      </c>
      <c r="EB15">
        <v>1</v>
      </c>
      <c r="EC15" s="39">
        <v>1.5</v>
      </c>
      <c r="ED15" s="39">
        <v>2.4</v>
      </c>
      <c r="EE15">
        <v>1</v>
      </c>
      <c r="EF15" s="39">
        <v>2.4</v>
      </c>
      <c r="EG15">
        <v>1</v>
      </c>
      <c r="EH15" s="39">
        <v>88</v>
      </c>
      <c r="EI15" s="62">
        <v>3.3977272727272698</v>
      </c>
      <c r="EJ15" s="39">
        <v>299</v>
      </c>
      <c r="EK15" s="39">
        <v>1</v>
      </c>
      <c r="EL15">
        <f t="shared" si="6"/>
        <v>211</v>
      </c>
      <c r="EM15" s="39">
        <v>299</v>
      </c>
      <c r="EN15" s="39">
        <v>1</v>
      </c>
      <c r="EO15" s="39">
        <v>0</v>
      </c>
      <c r="ER15" s="39">
        <v>18</v>
      </c>
      <c r="ET15" s="39">
        <v>36</v>
      </c>
      <c r="EU15" s="39">
        <v>54</v>
      </c>
      <c r="EV15" s="39">
        <v>83</v>
      </c>
      <c r="EW15" s="39">
        <v>48</v>
      </c>
      <c r="EX15" s="39">
        <v>25</v>
      </c>
      <c r="FC15" s="39">
        <v>1</v>
      </c>
      <c r="FD15" s="39">
        <v>0</v>
      </c>
      <c r="FF15" s="39">
        <v>1</v>
      </c>
      <c r="FG15">
        <v>0</v>
      </c>
      <c r="FK15" s="39">
        <v>0</v>
      </c>
      <c r="FL15">
        <v>1</v>
      </c>
      <c r="FM15" s="39">
        <v>200</v>
      </c>
      <c r="FN15" s="39">
        <v>100</v>
      </c>
      <c r="FO15">
        <v>0</v>
      </c>
      <c r="FQ15" s="44">
        <v>43420</v>
      </c>
      <c r="FR15" s="44" t="s">
        <v>230</v>
      </c>
      <c r="FS15" s="45">
        <v>1</v>
      </c>
      <c r="FT15" s="45">
        <v>0</v>
      </c>
      <c r="FU15" s="45">
        <v>1</v>
      </c>
      <c r="FV15" s="45">
        <v>0</v>
      </c>
      <c r="FW15" s="45">
        <v>1</v>
      </c>
      <c r="FX15" s="45">
        <v>1</v>
      </c>
      <c r="FY15" s="45">
        <v>0</v>
      </c>
      <c r="FZ15" s="45">
        <v>0</v>
      </c>
      <c r="GA15" s="45">
        <v>0</v>
      </c>
      <c r="GB15" s="45">
        <v>1</v>
      </c>
      <c r="GC15" s="45">
        <v>1</v>
      </c>
      <c r="GD15" s="45">
        <v>1</v>
      </c>
      <c r="GE15" s="45">
        <v>1</v>
      </c>
      <c r="GF15" s="45">
        <v>0</v>
      </c>
      <c r="GG15" s="45">
        <v>1</v>
      </c>
      <c r="GH15" s="45">
        <v>1</v>
      </c>
      <c r="GI15" s="45">
        <v>1</v>
      </c>
      <c r="GJ15" s="45">
        <v>0</v>
      </c>
      <c r="GK15" s="45">
        <v>0</v>
      </c>
      <c r="GL15" s="45">
        <v>0</v>
      </c>
      <c r="GM15" s="45">
        <v>0</v>
      </c>
      <c r="GN15" s="45">
        <v>1</v>
      </c>
      <c r="GO15" s="45">
        <v>1</v>
      </c>
      <c r="GP15" s="45">
        <v>0</v>
      </c>
      <c r="GQ15" s="45">
        <v>1</v>
      </c>
      <c r="GR15" s="45">
        <v>1</v>
      </c>
      <c r="GS15" s="45">
        <v>1</v>
      </c>
      <c r="GT15" s="45">
        <v>0</v>
      </c>
      <c r="GU15" s="45">
        <v>1</v>
      </c>
      <c r="GV15" s="45">
        <v>0</v>
      </c>
      <c r="GW15" s="45">
        <v>0</v>
      </c>
      <c r="GX15" s="45">
        <v>0</v>
      </c>
      <c r="GY15" s="15">
        <v>0</v>
      </c>
      <c r="GZ15" s="15">
        <v>0</v>
      </c>
      <c r="HA15" s="45">
        <v>0</v>
      </c>
      <c r="HB15" s="45">
        <v>1</v>
      </c>
      <c r="HC15" s="45">
        <v>0</v>
      </c>
      <c r="HD15" s="45">
        <v>0</v>
      </c>
      <c r="HE15" s="15">
        <v>0</v>
      </c>
      <c r="HF15" s="15">
        <v>0</v>
      </c>
      <c r="HG15" s="45">
        <v>0</v>
      </c>
      <c r="HH15" s="45">
        <v>1</v>
      </c>
      <c r="HI15" s="45">
        <v>1</v>
      </c>
      <c r="HJ15" s="45">
        <v>1</v>
      </c>
      <c r="HK15" s="45">
        <v>0</v>
      </c>
      <c r="HL15" s="45">
        <v>1</v>
      </c>
      <c r="HM15" s="45">
        <v>0</v>
      </c>
      <c r="HN15" s="45">
        <v>1</v>
      </c>
      <c r="HO15" s="45">
        <v>1</v>
      </c>
      <c r="HP15" s="45">
        <v>0</v>
      </c>
      <c r="HQ15" s="45">
        <v>0</v>
      </c>
      <c r="HR15" s="45">
        <v>0</v>
      </c>
      <c r="HS15" s="45">
        <v>0</v>
      </c>
      <c r="HT15" s="45">
        <v>1</v>
      </c>
      <c r="HU15" s="45">
        <v>1</v>
      </c>
      <c r="HV15" s="45">
        <v>0</v>
      </c>
      <c r="HW15" s="45">
        <v>1</v>
      </c>
      <c r="HX15" s="45">
        <v>0</v>
      </c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/>
      <c r="KH15"/>
      <c r="KI15">
        <v>1</v>
      </c>
      <c r="KJ15">
        <v>0</v>
      </c>
      <c r="KK15">
        <v>1</v>
      </c>
      <c r="KL15">
        <v>0</v>
      </c>
      <c r="KM15">
        <v>1</v>
      </c>
      <c r="KN15">
        <v>1</v>
      </c>
      <c r="KO15">
        <v>0</v>
      </c>
      <c r="KP15">
        <v>0</v>
      </c>
      <c r="KQ15">
        <v>0</v>
      </c>
      <c r="KR15">
        <v>1</v>
      </c>
      <c r="KS15">
        <v>1</v>
      </c>
      <c r="KT15">
        <v>1</v>
      </c>
      <c r="KU15">
        <v>1</v>
      </c>
      <c r="KV15">
        <v>0</v>
      </c>
      <c r="KW15">
        <v>1</v>
      </c>
      <c r="KX15">
        <v>1</v>
      </c>
      <c r="KY15">
        <v>1</v>
      </c>
      <c r="KZ15">
        <v>0</v>
      </c>
      <c r="LA15">
        <v>0</v>
      </c>
      <c r="LB15">
        <v>0</v>
      </c>
      <c r="LC15">
        <v>0</v>
      </c>
      <c r="LD15">
        <v>1</v>
      </c>
      <c r="LE15">
        <v>1</v>
      </c>
      <c r="LF15">
        <v>0</v>
      </c>
      <c r="LG15">
        <v>1</v>
      </c>
      <c r="LH15">
        <v>1</v>
      </c>
      <c r="LI15">
        <v>1</v>
      </c>
      <c r="LJ15">
        <v>0</v>
      </c>
      <c r="LK15">
        <v>1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1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1</v>
      </c>
      <c r="LY15">
        <v>1</v>
      </c>
      <c r="LZ15">
        <v>1</v>
      </c>
      <c r="MA15">
        <v>0</v>
      </c>
      <c r="MB15">
        <v>1</v>
      </c>
      <c r="MC15">
        <v>0</v>
      </c>
      <c r="MD15">
        <v>1</v>
      </c>
      <c r="ME15">
        <v>1</v>
      </c>
      <c r="MF15">
        <v>0</v>
      </c>
      <c r="MG15">
        <v>0</v>
      </c>
      <c r="MH15">
        <v>0</v>
      </c>
      <c r="MI15">
        <v>0</v>
      </c>
      <c r="MJ15">
        <v>1</v>
      </c>
      <c r="MK15">
        <v>1</v>
      </c>
      <c r="ML15">
        <v>0</v>
      </c>
      <c r="MM15">
        <v>1</v>
      </c>
      <c r="MN15">
        <v>0</v>
      </c>
      <c r="MO15">
        <v>1</v>
      </c>
      <c r="MP15">
        <v>0</v>
      </c>
      <c r="MQ15">
        <v>1</v>
      </c>
      <c r="MR15">
        <v>1</v>
      </c>
    </row>
    <row r="16" spans="1:359" s="39" customFormat="1" ht="18" x14ac:dyDescent="0.25">
      <c r="A16" t="s">
        <v>408</v>
      </c>
      <c r="B16" s="40">
        <v>40</v>
      </c>
      <c r="C16" s="40">
        <v>0</v>
      </c>
      <c r="D16" s="40">
        <v>0</v>
      </c>
      <c r="E16" s="40"/>
      <c r="F16" s="55">
        <v>977</v>
      </c>
      <c r="G16" s="55"/>
      <c r="H16" s="57">
        <v>0</v>
      </c>
      <c r="I16" s="57">
        <v>0</v>
      </c>
      <c r="J16" s="57"/>
      <c r="K16" s="40"/>
      <c r="L16" s="40"/>
      <c r="M16" s="40"/>
      <c r="N16" s="40">
        <v>1</v>
      </c>
      <c r="O16" s="42">
        <v>43612</v>
      </c>
      <c r="P16" s="64">
        <f t="shared" si="0"/>
        <v>977</v>
      </c>
      <c r="Q16" s="39">
        <v>1</v>
      </c>
      <c r="R16" s="39">
        <v>1</v>
      </c>
      <c r="S16" s="39">
        <v>0</v>
      </c>
      <c r="T16" s="39">
        <v>95</v>
      </c>
      <c r="U16" s="39">
        <v>0</v>
      </c>
      <c r="V16" s="39">
        <v>1</v>
      </c>
      <c r="W16" s="39">
        <v>0</v>
      </c>
      <c r="X16" s="39">
        <v>0</v>
      </c>
      <c r="Y16" s="39">
        <v>0</v>
      </c>
      <c r="Z16" s="39">
        <v>1</v>
      </c>
      <c r="AA16" s="39">
        <v>0</v>
      </c>
      <c r="AB16" s="39">
        <v>0</v>
      </c>
      <c r="AC16" s="39">
        <v>0</v>
      </c>
      <c r="AD16" s="39">
        <v>0</v>
      </c>
      <c r="AE16" s="39">
        <v>0</v>
      </c>
      <c r="AF16" s="39">
        <v>0</v>
      </c>
      <c r="AG16" s="39">
        <v>0</v>
      </c>
      <c r="AH16" s="39">
        <v>0</v>
      </c>
      <c r="AI16" s="39">
        <v>0</v>
      </c>
      <c r="AJ16" s="39">
        <v>0</v>
      </c>
      <c r="AK16" s="39">
        <v>0</v>
      </c>
      <c r="AL16" s="39">
        <v>0</v>
      </c>
      <c r="AM16" s="39">
        <v>0</v>
      </c>
      <c r="AN16" s="39">
        <v>110</v>
      </c>
      <c r="AO16" s="39">
        <v>174</v>
      </c>
      <c r="AP16" s="39">
        <v>36.299999999999997</v>
      </c>
      <c r="AQ16" s="39">
        <v>37.700000000000003</v>
      </c>
      <c r="AR16" s="39">
        <v>122</v>
      </c>
      <c r="AS16" s="39">
        <v>107</v>
      </c>
      <c r="AT16" s="39">
        <v>2</v>
      </c>
      <c r="AU16">
        <v>0</v>
      </c>
      <c r="AV16" s="39">
        <v>112</v>
      </c>
      <c r="AW16" s="43">
        <v>42635</v>
      </c>
      <c r="AX16" s="43">
        <v>42635</v>
      </c>
      <c r="AY16" s="39">
        <v>0</v>
      </c>
      <c r="AZ16" s="43">
        <v>42632</v>
      </c>
      <c r="BA16" s="39">
        <v>1</v>
      </c>
      <c r="BB16" s="39">
        <v>0</v>
      </c>
      <c r="BC16" s="39">
        <v>0</v>
      </c>
      <c r="BD16" s="39">
        <v>0</v>
      </c>
      <c r="BE16" s="39">
        <v>0</v>
      </c>
      <c r="BF16" s="39">
        <v>0</v>
      </c>
      <c r="BG16" s="39">
        <v>0</v>
      </c>
      <c r="BH16" s="39">
        <v>1</v>
      </c>
      <c r="BI16" s="39">
        <v>1</v>
      </c>
      <c r="BJ16" s="78">
        <v>0</v>
      </c>
      <c r="BK16" s="78">
        <v>0</v>
      </c>
      <c r="BL16" s="78">
        <v>0</v>
      </c>
      <c r="BM16" s="66">
        <v>0</v>
      </c>
      <c r="BN16" s="78">
        <v>0</v>
      </c>
      <c r="BO16" s="78">
        <v>0</v>
      </c>
      <c r="BP16" s="78">
        <v>0</v>
      </c>
      <c r="BQ16">
        <v>0</v>
      </c>
      <c r="BR16" s="78">
        <v>0</v>
      </c>
      <c r="BS16" s="78">
        <v>0</v>
      </c>
      <c r="BT16" s="78">
        <v>0</v>
      </c>
      <c r="BU16" s="78">
        <v>0</v>
      </c>
      <c r="BV16" s="78">
        <v>0</v>
      </c>
      <c r="BW16" s="78">
        <v>0</v>
      </c>
      <c r="BX16" s="66">
        <f t="shared" si="3"/>
        <v>0</v>
      </c>
      <c r="BY16">
        <v>0</v>
      </c>
      <c r="BZ16">
        <f t="shared" si="4"/>
        <v>0</v>
      </c>
      <c r="CA16" s="39">
        <v>1</v>
      </c>
      <c r="CD16" s="39">
        <v>0</v>
      </c>
      <c r="CO16">
        <f t="shared" si="7"/>
        <v>0</v>
      </c>
      <c r="CP16" s="39">
        <v>0</v>
      </c>
      <c r="CQ16" s="39">
        <v>0</v>
      </c>
      <c r="CR16" s="39">
        <v>0</v>
      </c>
      <c r="CS16" s="39">
        <v>0</v>
      </c>
      <c r="CT16" s="39">
        <v>0</v>
      </c>
      <c r="CW16" s="31"/>
      <c r="CX16" s="39">
        <v>1</v>
      </c>
      <c r="CY16">
        <v>0</v>
      </c>
      <c r="DA16" s="43">
        <v>42636</v>
      </c>
      <c r="DB16" s="66">
        <f t="shared" si="5"/>
        <v>4</v>
      </c>
      <c r="DC16" s="39" t="s">
        <v>1</v>
      </c>
      <c r="DE16" s="43">
        <v>42643</v>
      </c>
      <c r="DF16" s="39">
        <v>8</v>
      </c>
      <c r="DG16" s="43">
        <v>42636</v>
      </c>
      <c r="DH16" s="39">
        <v>14</v>
      </c>
      <c r="DI16" s="39">
        <v>7.9</v>
      </c>
      <c r="DJ16" s="39">
        <v>1.6</v>
      </c>
      <c r="DK16" s="80">
        <v>295</v>
      </c>
      <c r="DL16" s="39">
        <v>5</v>
      </c>
      <c r="DM16" s="39">
        <v>78</v>
      </c>
      <c r="DO16" s="39">
        <v>2</v>
      </c>
      <c r="DP16" s="39">
        <v>305</v>
      </c>
      <c r="DR16" s="39">
        <v>66</v>
      </c>
      <c r="DS16" s="39">
        <v>4.4000000000000004</v>
      </c>
      <c r="DW16" s="43">
        <v>42635</v>
      </c>
      <c r="DX16" s="39">
        <v>12.1</v>
      </c>
      <c r="DY16" s="39">
        <v>12.4</v>
      </c>
      <c r="DZ16">
        <v>1</v>
      </c>
      <c r="EA16" s="39">
        <v>12.4</v>
      </c>
      <c r="EB16">
        <v>0</v>
      </c>
      <c r="EC16" s="39">
        <v>1.19</v>
      </c>
      <c r="ED16" s="39">
        <v>2.15</v>
      </c>
      <c r="EE16">
        <v>1</v>
      </c>
      <c r="EF16" s="39">
        <v>2.15</v>
      </c>
      <c r="EG16">
        <v>1</v>
      </c>
      <c r="EH16" s="39">
        <v>131</v>
      </c>
      <c r="EI16" s="62">
        <v>1.78625954198473</v>
      </c>
      <c r="EJ16" s="39">
        <v>234</v>
      </c>
      <c r="EK16" s="39">
        <v>1</v>
      </c>
      <c r="EL16">
        <f t="shared" si="6"/>
        <v>103</v>
      </c>
      <c r="EM16" s="39">
        <v>234</v>
      </c>
      <c r="EN16" s="39">
        <v>1</v>
      </c>
      <c r="ER16" s="39">
        <v>22</v>
      </c>
      <c r="ET16" s="39">
        <v>13</v>
      </c>
      <c r="EU16" s="39">
        <v>14</v>
      </c>
      <c r="EV16" s="39">
        <v>60</v>
      </c>
      <c r="EW16" s="39">
        <v>71</v>
      </c>
      <c r="EX16" s="39">
        <v>14</v>
      </c>
      <c r="EY16" s="39">
        <v>7</v>
      </c>
      <c r="FC16" s="39">
        <v>1</v>
      </c>
      <c r="FD16" s="39">
        <v>0</v>
      </c>
      <c r="FF16" s="39">
        <v>1</v>
      </c>
      <c r="FG16">
        <v>0</v>
      </c>
      <c r="FK16">
        <v>0</v>
      </c>
      <c r="FL16">
        <v>0</v>
      </c>
      <c r="FM16"/>
      <c r="FN16"/>
      <c r="FO16">
        <v>0</v>
      </c>
      <c r="FQ16" s="44">
        <v>42635</v>
      </c>
      <c r="FR16" s="44" t="s">
        <v>230</v>
      </c>
      <c r="FS16" s="45">
        <v>1</v>
      </c>
      <c r="FT16" s="45">
        <v>0</v>
      </c>
      <c r="FU16" s="45">
        <v>1</v>
      </c>
      <c r="FV16" s="45">
        <v>0</v>
      </c>
      <c r="FW16" s="45">
        <v>1</v>
      </c>
      <c r="FX16" s="45">
        <v>0</v>
      </c>
      <c r="FY16" s="45">
        <v>0</v>
      </c>
      <c r="FZ16" s="45">
        <v>0</v>
      </c>
      <c r="GA16" s="45">
        <v>0</v>
      </c>
      <c r="GB16" s="45">
        <v>1</v>
      </c>
      <c r="GC16" s="45">
        <v>1</v>
      </c>
      <c r="GD16" s="45">
        <v>1</v>
      </c>
      <c r="GE16" s="45">
        <v>1</v>
      </c>
      <c r="GF16" s="45">
        <v>1</v>
      </c>
      <c r="GG16" s="45">
        <v>0</v>
      </c>
      <c r="GH16" s="45">
        <v>0</v>
      </c>
      <c r="GI16" s="45">
        <v>0</v>
      </c>
      <c r="GJ16" s="45">
        <v>0</v>
      </c>
      <c r="GK16" s="45">
        <v>1</v>
      </c>
      <c r="GL16" s="45">
        <v>0</v>
      </c>
      <c r="GM16" s="45">
        <v>0</v>
      </c>
      <c r="GN16" s="45">
        <v>1</v>
      </c>
      <c r="GO16" s="45">
        <v>1</v>
      </c>
      <c r="GP16" s="45">
        <v>0</v>
      </c>
      <c r="GQ16" s="45">
        <v>1</v>
      </c>
      <c r="GR16" s="45">
        <v>1</v>
      </c>
      <c r="GS16" s="45">
        <v>1</v>
      </c>
      <c r="GT16" s="45">
        <v>1</v>
      </c>
      <c r="GU16" s="45">
        <v>1</v>
      </c>
      <c r="GV16" s="45">
        <v>0</v>
      </c>
      <c r="GW16" s="45">
        <v>0</v>
      </c>
      <c r="GX16" s="45">
        <v>0</v>
      </c>
      <c r="GY16" s="15">
        <v>0</v>
      </c>
      <c r="GZ16" s="15">
        <v>0</v>
      </c>
      <c r="HA16" s="45">
        <v>0</v>
      </c>
      <c r="HB16" s="45">
        <v>1</v>
      </c>
      <c r="HC16" s="45">
        <v>0</v>
      </c>
      <c r="HD16" s="45">
        <v>0</v>
      </c>
      <c r="HE16" s="15">
        <v>0</v>
      </c>
      <c r="HF16" s="15">
        <v>0</v>
      </c>
      <c r="HG16" s="45">
        <v>0</v>
      </c>
      <c r="HH16" s="45">
        <v>1</v>
      </c>
      <c r="HI16" s="45">
        <v>1</v>
      </c>
      <c r="HJ16" s="45">
        <v>0</v>
      </c>
      <c r="HK16" s="45">
        <v>0</v>
      </c>
      <c r="HL16" s="45">
        <v>1</v>
      </c>
      <c r="HM16" s="45">
        <v>0</v>
      </c>
      <c r="HN16" s="45">
        <v>1</v>
      </c>
      <c r="HO16" s="45">
        <v>1</v>
      </c>
      <c r="HP16" s="45">
        <v>0</v>
      </c>
      <c r="HQ16" s="45">
        <v>0</v>
      </c>
      <c r="HR16" s="45">
        <v>0</v>
      </c>
      <c r="HS16" s="45">
        <v>0</v>
      </c>
      <c r="HT16" s="45">
        <v>0</v>
      </c>
      <c r="HU16" s="45">
        <v>0</v>
      </c>
      <c r="HV16" s="45">
        <v>0</v>
      </c>
      <c r="HW16" s="45">
        <v>0</v>
      </c>
      <c r="HX16" s="45">
        <v>1</v>
      </c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/>
      <c r="KH16"/>
      <c r="KI16">
        <v>1</v>
      </c>
      <c r="KJ16">
        <v>0</v>
      </c>
      <c r="KK16">
        <v>1</v>
      </c>
      <c r="KL16">
        <v>0</v>
      </c>
      <c r="KM16">
        <v>1</v>
      </c>
      <c r="KN16">
        <v>0</v>
      </c>
      <c r="KO16">
        <v>0</v>
      </c>
      <c r="KP16">
        <v>0</v>
      </c>
      <c r="KQ16">
        <v>0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0</v>
      </c>
      <c r="KX16">
        <v>0</v>
      </c>
      <c r="KY16">
        <v>0</v>
      </c>
      <c r="KZ16">
        <v>0</v>
      </c>
      <c r="LA16">
        <v>1</v>
      </c>
      <c r="LB16">
        <v>0</v>
      </c>
      <c r="LC16">
        <v>0</v>
      </c>
      <c r="LD16">
        <v>1</v>
      </c>
      <c r="LE16">
        <v>1</v>
      </c>
      <c r="LF16">
        <v>0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1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1</v>
      </c>
      <c r="LY16">
        <v>1</v>
      </c>
      <c r="LZ16">
        <v>0</v>
      </c>
      <c r="MA16">
        <v>0</v>
      </c>
      <c r="MB16">
        <v>1</v>
      </c>
      <c r="MC16">
        <v>0</v>
      </c>
      <c r="MD16">
        <v>1</v>
      </c>
      <c r="ME16">
        <v>1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1</v>
      </c>
      <c r="MO16">
        <v>0</v>
      </c>
      <c r="MP16">
        <v>0</v>
      </c>
      <c r="MQ16">
        <f t="shared" si="10"/>
        <v>0</v>
      </c>
      <c r="MR16">
        <f t="shared" si="11"/>
        <v>0</v>
      </c>
    </row>
    <row r="17" spans="1:359" ht="18" x14ac:dyDescent="0.25">
      <c r="A17" t="s">
        <v>409</v>
      </c>
      <c r="B17" s="3">
        <v>68</v>
      </c>
      <c r="C17" s="3">
        <v>1</v>
      </c>
      <c r="D17" s="3">
        <v>1</v>
      </c>
      <c r="E17" s="26">
        <v>44930</v>
      </c>
      <c r="F17" s="61">
        <v>38</v>
      </c>
      <c r="G17" s="61"/>
      <c r="H17" s="58">
        <v>1</v>
      </c>
      <c r="I17" s="57">
        <v>1</v>
      </c>
      <c r="J17" s="58">
        <v>1</v>
      </c>
      <c r="K17" s="1">
        <v>44930</v>
      </c>
      <c r="L17" s="66">
        <v>1</v>
      </c>
      <c r="M17" s="1">
        <v>44993</v>
      </c>
      <c r="N17" s="3">
        <v>0</v>
      </c>
      <c r="O17" s="2">
        <v>45048</v>
      </c>
      <c r="P17" s="64">
        <f t="shared" si="0"/>
        <v>156</v>
      </c>
      <c r="Q17">
        <v>1</v>
      </c>
      <c r="R17">
        <v>1</v>
      </c>
      <c r="S17">
        <v>0</v>
      </c>
      <c r="T17">
        <v>93</v>
      </c>
      <c r="U17">
        <v>0</v>
      </c>
      <c r="V17">
        <v>1</v>
      </c>
      <c r="W17">
        <v>0</v>
      </c>
      <c r="X17">
        <v>0</v>
      </c>
      <c r="Y17">
        <v>1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76</v>
      </c>
      <c r="AO17">
        <v>171</v>
      </c>
      <c r="AP17">
        <v>26</v>
      </c>
      <c r="AQ17">
        <v>37.299999999999997</v>
      </c>
      <c r="AR17">
        <v>151</v>
      </c>
      <c r="AS17">
        <v>85</v>
      </c>
      <c r="AV17">
        <v>94</v>
      </c>
      <c r="AW17" s="1">
        <v>44892</v>
      </c>
      <c r="AX17" s="1">
        <v>44892</v>
      </c>
      <c r="AY17">
        <v>0</v>
      </c>
      <c r="AZ17" s="1">
        <v>44890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 s="66">
        <v>0</v>
      </c>
      <c r="BN17">
        <v>0</v>
      </c>
      <c r="BO17">
        <v>0</v>
      </c>
      <c r="BP17" s="66">
        <f t="shared" ref="BP17:BP32" si="12">BJ17+BK17+BL17+BM17+BN17+BO17</f>
        <v>0</v>
      </c>
      <c r="BQ17">
        <v>0</v>
      </c>
      <c r="BR17">
        <v>0</v>
      </c>
      <c r="BS17">
        <v>3</v>
      </c>
      <c r="BT17">
        <v>0</v>
      </c>
      <c r="BU17" s="66">
        <f t="shared" ref="BU17:BU32" si="13">BM17</f>
        <v>0</v>
      </c>
      <c r="BV17">
        <v>0</v>
      </c>
      <c r="BW17">
        <v>0</v>
      </c>
      <c r="BX17" s="66">
        <f t="shared" si="3"/>
        <v>3</v>
      </c>
      <c r="BY17">
        <v>1</v>
      </c>
      <c r="BZ17">
        <v>1</v>
      </c>
      <c r="CA17">
        <v>0</v>
      </c>
      <c r="CB17">
        <v>1</v>
      </c>
      <c r="CC17">
        <v>2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f t="shared" si="7"/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1</v>
      </c>
      <c r="CV17">
        <v>1</v>
      </c>
      <c r="CW17">
        <v>1</v>
      </c>
      <c r="CX17">
        <v>0</v>
      </c>
      <c r="CY17">
        <v>0</v>
      </c>
      <c r="DA17" s="1">
        <v>44892</v>
      </c>
      <c r="DB17" s="66">
        <f t="shared" si="5"/>
        <v>2</v>
      </c>
      <c r="DC17" t="s">
        <v>1</v>
      </c>
      <c r="DD17">
        <v>0</v>
      </c>
      <c r="DE17" s="1">
        <v>44901</v>
      </c>
      <c r="DF17">
        <v>10</v>
      </c>
      <c r="DG17" s="1">
        <v>44892</v>
      </c>
      <c r="DH17">
        <v>9</v>
      </c>
      <c r="DI17">
        <v>20</v>
      </c>
      <c r="DJ17">
        <v>0.9</v>
      </c>
      <c r="DK17" s="66">
        <v>522</v>
      </c>
      <c r="DL17">
        <v>5</v>
      </c>
      <c r="DM17">
        <v>73</v>
      </c>
      <c r="DN17">
        <v>12983</v>
      </c>
      <c r="DO17">
        <v>2</v>
      </c>
      <c r="DP17">
        <v>522</v>
      </c>
      <c r="DQ17">
        <v>12983</v>
      </c>
      <c r="DR17">
        <v>61</v>
      </c>
      <c r="DS17">
        <v>8.4</v>
      </c>
      <c r="DU17">
        <v>39</v>
      </c>
      <c r="DW17" s="1">
        <v>44892</v>
      </c>
      <c r="DX17">
        <v>23</v>
      </c>
      <c r="DY17">
        <v>14</v>
      </c>
      <c r="DZ17">
        <v>1</v>
      </c>
      <c r="EA17">
        <v>23</v>
      </c>
      <c r="EB17">
        <v>1</v>
      </c>
      <c r="EC17">
        <v>1</v>
      </c>
      <c r="ED17">
        <v>0.64</v>
      </c>
      <c r="EE17">
        <v>0</v>
      </c>
      <c r="EF17">
        <v>1</v>
      </c>
      <c r="EG17">
        <v>0</v>
      </c>
      <c r="EH17">
        <v>152</v>
      </c>
      <c r="EI17" s="62">
        <v>0.68421052631578905</v>
      </c>
      <c r="EJ17">
        <v>104</v>
      </c>
      <c r="EK17">
        <v>0</v>
      </c>
      <c r="EL17">
        <f t="shared" si="6"/>
        <v>-48</v>
      </c>
      <c r="EM17">
        <v>152</v>
      </c>
      <c r="EN17">
        <v>0</v>
      </c>
      <c r="EO17">
        <v>0.28000000000000003</v>
      </c>
      <c r="ER17">
        <v>22</v>
      </c>
      <c r="ES17">
        <v>11</v>
      </c>
      <c r="ET17">
        <v>21</v>
      </c>
      <c r="EU17">
        <v>12</v>
      </c>
      <c r="EV17">
        <v>64</v>
      </c>
      <c r="EW17">
        <v>163</v>
      </c>
      <c r="EX17">
        <v>7</v>
      </c>
      <c r="EY17">
        <v>3</v>
      </c>
      <c r="FB17">
        <v>1</v>
      </c>
      <c r="FC17">
        <v>0</v>
      </c>
      <c r="FF17">
        <v>0</v>
      </c>
      <c r="FG17">
        <v>0</v>
      </c>
      <c r="FI17"/>
      <c r="FK17">
        <v>0</v>
      </c>
      <c r="FL17">
        <v>0</v>
      </c>
      <c r="FO17">
        <v>0</v>
      </c>
      <c r="FQ17" s="22">
        <v>44891</v>
      </c>
      <c r="FR17" s="22" t="s">
        <v>230</v>
      </c>
      <c r="FS17" s="15">
        <v>1</v>
      </c>
      <c r="FT17" s="15">
        <v>1</v>
      </c>
      <c r="FU17" s="15">
        <v>1</v>
      </c>
      <c r="FV17" s="15">
        <v>0</v>
      </c>
      <c r="FW17" s="15">
        <v>1</v>
      </c>
      <c r="FX17" s="15">
        <v>0</v>
      </c>
      <c r="FY17" s="15">
        <v>0</v>
      </c>
      <c r="FZ17" s="15">
        <v>0</v>
      </c>
      <c r="GA17" s="15">
        <v>0</v>
      </c>
      <c r="GB17" s="15">
        <v>1</v>
      </c>
      <c r="GC17" s="15">
        <v>0</v>
      </c>
      <c r="GD17" s="15">
        <v>1</v>
      </c>
      <c r="GE17" s="15">
        <v>0</v>
      </c>
      <c r="GF17" s="15">
        <v>0</v>
      </c>
      <c r="GG17" s="15">
        <v>0</v>
      </c>
      <c r="GH17" s="15">
        <v>0</v>
      </c>
      <c r="GI17" s="15">
        <v>1</v>
      </c>
      <c r="GJ17" s="15">
        <v>0</v>
      </c>
      <c r="GK17" s="15">
        <v>0</v>
      </c>
      <c r="GL17" s="15">
        <v>1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1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1</v>
      </c>
      <c r="HC17" s="15">
        <v>1</v>
      </c>
      <c r="HD17" s="15" t="s">
        <v>232</v>
      </c>
      <c r="HE17" s="15">
        <v>0</v>
      </c>
      <c r="HF17" s="15">
        <v>0</v>
      </c>
      <c r="HG17" s="15">
        <v>0</v>
      </c>
      <c r="HH17" s="15">
        <v>1</v>
      </c>
      <c r="HI17" s="15">
        <v>1</v>
      </c>
      <c r="HJ17" s="15">
        <v>1</v>
      </c>
      <c r="HK17" s="15">
        <v>1</v>
      </c>
      <c r="HL17" s="15">
        <v>1</v>
      </c>
      <c r="HM17" s="15">
        <v>0</v>
      </c>
      <c r="HN17" s="15">
        <v>1</v>
      </c>
      <c r="HO17" s="15">
        <v>1</v>
      </c>
      <c r="HP17" s="15">
        <v>0</v>
      </c>
      <c r="HQ17" s="15">
        <v>0</v>
      </c>
      <c r="HR17" s="15">
        <v>0</v>
      </c>
      <c r="HS17" s="15">
        <v>0</v>
      </c>
      <c r="HT17" s="15">
        <v>1</v>
      </c>
      <c r="HU17" s="15">
        <v>1</v>
      </c>
      <c r="HV17" s="15">
        <v>0</v>
      </c>
      <c r="HW17" s="15">
        <v>0</v>
      </c>
      <c r="HX17" s="15">
        <v>0</v>
      </c>
      <c r="HY17" s="22">
        <v>44923</v>
      </c>
      <c r="HZ17" s="15" t="s">
        <v>231</v>
      </c>
      <c r="IA17" s="15">
        <v>1</v>
      </c>
      <c r="IB17" s="15">
        <v>1</v>
      </c>
      <c r="IC17" s="15">
        <v>1</v>
      </c>
      <c r="ID17" s="15">
        <v>0</v>
      </c>
      <c r="IE17" s="15">
        <v>1</v>
      </c>
      <c r="IF17" s="15">
        <v>0</v>
      </c>
      <c r="IG17" s="15">
        <v>0</v>
      </c>
      <c r="IH17" s="15">
        <v>0</v>
      </c>
      <c r="II17" s="15">
        <v>0</v>
      </c>
      <c r="IJ17" s="15">
        <v>0</v>
      </c>
      <c r="IK17" s="15">
        <v>0</v>
      </c>
      <c r="IL17" s="15">
        <v>1</v>
      </c>
      <c r="IM17" s="15">
        <v>0</v>
      </c>
      <c r="IN17" s="15">
        <v>0</v>
      </c>
      <c r="IO17" s="15">
        <v>0</v>
      </c>
      <c r="IP17" s="15">
        <v>0</v>
      </c>
      <c r="IQ17" s="15">
        <v>1</v>
      </c>
      <c r="IR17" s="15">
        <v>0</v>
      </c>
      <c r="IS17" s="15">
        <v>0</v>
      </c>
      <c r="IT17" s="15">
        <v>1</v>
      </c>
      <c r="IU17" s="15">
        <v>0</v>
      </c>
      <c r="IV17" s="15">
        <v>0</v>
      </c>
      <c r="IW17" s="15">
        <v>0</v>
      </c>
      <c r="IX17" s="15">
        <v>0</v>
      </c>
      <c r="IY17" s="15">
        <v>0</v>
      </c>
      <c r="IZ17" s="15">
        <v>0</v>
      </c>
      <c r="JA17" s="15">
        <v>0</v>
      </c>
      <c r="JB17" s="15">
        <v>0</v>
      </c>
      <c r="JC17" s="15">
        <v>1</v>
      </c>
      <c r="JD17" s="15">
        <v>0</v>
      </c>
      <c r="JE17" s="15">
        <v>0</v>
      </c>
      <c r="JF17" s="15">
        <v>0</v>
      </c>
      <c r="JG17" s="15">
        <v>0</v>
      </c>
      <c r="JH17" s="15">
        <v>0</v>
      </c>
      <c r="JI17" s="15">
        <v>0</v>
      </c>
      <c r="JJ17" s="15">
        <v>1</v>
      </c>
      <c r="JK17" s="15">
        <v>1</v>
      </c>
      <c r="JL17" s="15" t="s">
        <v>232</v>
      </c>
      <c r="JM17" s="15">
        <v>0</v>
      </c>
      <c r="JN17" s="15">
        <v>0</v>
      </c>
      <c r="JO17" s="15">
        <v>0</v>
      </c>
      <c r="JP17" s="15">
        <v>0</v>
      </c>
      <c r="JQ17" s="15">
        <v>0</v>
      </c>
      <c r="JR17" s="45">
        <v>1</v>
      </c>
      <c r="JS17" s="45">
        <v>1</v>
      </c>
      <c r="JT17" s="15">
        <v>0</v>
      </c>
      <c r="JU17" s="15">
        <v>0</v>
      </c>
      <c r="JV17" s="15">
        <v>0</v>
      </c>
      <c r="JW17" s="15">
        <v>1</v>
      </c>
      <c r="JX17" s="15">
        <v>0</v>
      </c>
      <c r="JY17" s="15">
        <v>0</v>
      </c>
      <c r="JZ17" s="15">
        <v>1</v>
      </c>
      <c r="KA17" s="15">
        <v>1</v>
      </c>
      <c r="KB17" s="15">
        <v>0</v>
      </c>
      <c r="KC17" s="15">
        <v>0</v>
      </c>
      <c r="KD17" s="15">
        <v>0</v>
      </c>
      <c r="KE17" s="15">
        <v>0</v>
      </c>
      <c r="KF17" s="15">
        <v>0</v>
      </c>
      <c r="KI17">
        <v>1</v>
      </c>
      <c r="KJ17">
        <v>1</v>
      </c>
      <c r="KK17">
        <v>1</v>
      </c>
      <c r="KL17">
        <v>0</v>
      </c>
      <c r="KM17">
        <v>1</v>
      </c>
      <c r="KN17">
        <v>0</v>
      </c>
      <c r="KO17">
        <v>0</v>
      </c>
      <c r="KP17">
        <v>0</v>
      </c>
      <c r="KQ17">
        <v>0</v>
      </c>
      <c r="KR17">
        <v>1</v>
      </c>
      <c r="KS17">
        <v>0</v>
      </c>
      <c r="KT17">
        <v>1</v>
      </c>
      <c r="KU17">
        <v>0</v>
      </c>
      <c r="KV17">
        <v>0</v>
      </c>
      <c r="KW17">
        <v>0</v>
      </c>
      <c r="KX17">
        <v>0</v>
      </c>
      <c r="KY17">
        <v>1</v>
      </c>
      <c r="KZ17">
        <v>0</v>
      </c>
      <c r="LA17">
        <v>0</v>
      </c>
      <c r="LB17">
        <v>1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1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1</v>
      </c>
      <c r="LS17">
        <v>1</v>
      </c>
      <c r="LU17">
        <v>0</v>
      </c>
      <c r="LV17">
        <v>0</v>
      </c>
      <c r="LW17">
        <v>0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0</v>
      </c>
      <c r="MD17">
        <v>1</v>
      </c>
      <c r="ME17">
        <v>1</v>
      </c>
      <c r="MF17">
        <v>0</v>
      </c>
      <c r="MG17">
        <v>0</v>
      </c>
      <c r="MH17">
        <v>1</v>
      </c>
      <c r="MI17">
        <v>1</v>
      </c>
      <c r="MJ17">
        <v>1</v>
      </c>
      <c r="MK17">
        <v>1</v>
      </c>
      <c r="ML17">
        <v>0</v>
      </c>
      <c r="MM17">
        <v>0</v>
      </c>
      <c r="MN17">
        <v>0</v>
      </c>
      <c r="MO17">
        <v>1</v>
      </c>
      <c r="MP17">
        <v>0</v>
      </c>
      <c r="MQ17">
        <v>1</v>
      </c>
      <c r="MR17">
        <v>1</v>
      </c>
      <c r="MS17">
        <v>1</v>
      </c>
      <c r="MT17">
        <v>0</v>
      </c>
    </row>
    <row r="18" spans="1:359" s="39" customFormat="1" ht="18" x14ac:dyDescent="0.25">
      <c r="A18" t="s">
        <v>410</v>
      </c>
      <c r="B18" s="40">
        <v>53</v>
      </c>
      <c r="C18" s="40">
        <v>1</v>
      </c>
      <c r="D18" s="40">
        <v>1</v>
      </c>
      <c r="E18" s="41">
        <v>42683</v>
      </c>
      <c r="F18" s="61">
        <v>5</v>
      </c>
      <c r="G18" s="61"/>
      <c r="H18" s="58">
        <v>1</v>
      </c>
      <c r="I18" s="57">
        <v>1</v>
      </c>
      <c r="J18" s="58">
        <v>1</v>
      </c>
      <c r="K18" s="42">
        <v>42683</v>
      </c>
      <c r="L18" s="65">
        <v>1</v>
      </c>
      <c r="M18" s="42">
        <v>42754</v>
      </c>
      <c r="N18" s="40">
        <v>0</v>
      </c>
      <c r="O18" s="42">
        <v>44804</v>
      </c>
      <c r="P18" s="64">
        <f t="shared" si="0"/>
        <v>2126</v>
      </c>
      <c r="Q18" s="39">
        <v>1</v>
      </c>
      <c r="R18" s="39">
        <v>0</v>
      </c>
      <c r="S18" s="39">
        <v>1</v>
      </c>
      <c r="T18" s="39">
        <v>92</v>
      </c>
      <c r="U18" s="39">
        <v>0</v>
      </c>
      <c r="V18" s="39">
        <v>1</v>
      </c>
      <c r="W18" s="39">
        <v>0</v>
      </c>
      <c r="X18" s="39">
        <v>0</v>
      </c>
      <c r="Y18" s="39">
        <v>0</v>
      </c>
      <c r="Z18" s="39">
        <v>1</v>
      </c>
      <c r="AA18" s="39">
        <v>0</v>
      </c>
      <c r="AB18" s="39">
        <v>0</v>
      </c>
      <c r="AC18" s="39">
        <v>0</v>
      </c>
      <c r="AD18" s="39">
        <v>0</v>
      </c>
      <c r="AE18" s="39">
        <v>0</v>
      </c>
      <c r="AF18" s="39">
        <v>0</v>
      </c>
      <c r="AG18" s="39">
        <v>0</v>
      </c>
      <c r="AH18" s="39">
        <v>0</v>
      </c>
      <c r="AI18" s="39">
        <v>0</v>
      </c>
      <c r="AJ18" s="39">
        <v>0</v>
      </c>
      <c r="AK18" s="39">
        <v>0</v>
      </c>
      <c r="AL18" s="39">
        <v>0</v>
      </c>
      <c r="AM18" s="39">
        <v>0</v>
      </c>
      <c r="AN18" s="39">
        <v>153</v>
      </c>
      <c r="AO18" s="39">
        <v>170</v>
      </c>
      <c r="AP18" s="39">
        <v>52.9</v>
      </c>
      <c r="AQ18" s="39">
        <v>36.9</v>
      </c>
      <c r="AR18" s="39">
        <v>154</v>
      </c>
      <c r="AS18" s="39">
        <v>93</v>
      </c>
      <c r="AV18" s="39">
        <v>101</v>
      </c>
      <c r="AW18" s="43">
        <v>42678</v>
      </c>
      <c r="AX18" s="43">
        <v>42678</v>
      </c>
      <c r="AY18" s="39">
        <v>0</v>
      </c>
      <c r="AZ18" s="43">
        <v>42669</v>
      </c>
      <c r="BA18" s="39">
        <v>1</v>
      </c>
      <c r="BB18" s="39">
        <v>0</v>
      </c>
      <c r="BC18" s="39">
        <v>0</v>
      </c>
      <c r="BD18" s="39">
        <v>1</v>
      </c>
      <c r="BE18" s="39">
        <v>0</v>
      </c>
      <c r="BF18" s="39">
        <v>0</v>
      </c>
      <c r="BG18" s="39">
        <v>1</v>
      </c>
      <c r="BH18" s="39">
        <v>0</v>
      </c>
      <c r="BI18" s="39">
        <v>0</v>
      </c>
      <c r="BJ18">
        <v>0</v>
      </c>
      <c r="BK18">
        <v>0</v>
      </c>
      <c r="BL18">
        <v>0</v>
      </c>
      <c r="BM18" s="66">
        <v>1</v>
      </c>
      <c r="BN18">
        <v>0</v>
      </c>
      <c r="BO18">
        <v>0</v>
      </c>
      <c r="BP18" s="66">
        <f t="shared" si="12"/>
        <v>1</v>
      </c>
      <c r="BQ18">
        <v>0</v>
      </c>
      <c r="BR18">
        <v>0</v>
      </c>
      <c r="BS18">
        <v>0</v>
      </c>
      <c r="BT18">
        <v>0</v>
      </c>
      <c r="BU18" s="66">
        <f t="shared" si="13"/>
        <v>1</v>
      </c>
      <c r="BV18">
        <v>0</v>
      </c>
      <c r="BW18">
        <v>0</v>
      </c>
      <c r="BX18" s="66">
        <f t="shared" si="3"/>
        <v>1</v>
      </c>
      <c r="BY18">
        <v>0</v>
      </c>
      <c r="BZ18">
        <f t="shared" si="4"/>
        <v>0</v>
      </c>
      <c r="CA18" s="39">
        <v>0</v>
      </c>
      <c r="CD18" s="39">
        <v>0</v>
      </c>
      <c r="CE18" s="39">
        <v>0</v>
      </c>
      <c r="CF18" s="39">
        <v>0</v>
      </c>
      <c r="CG18" s="39">
        <v>0</v>
      </c>
      <c r="CH18" s="39">
        <v>0</v>
      </c>
      <c r="CI18" s="39">
        <v>0</v>
      </c>
      <c r="CJ18" s="39">
        <v>0</v>
      </c>
      <c r="CK18" s="39">
        <v>0</v>
      </c>
      <c r="CL18" s="39">
        <v>0</v>
      </c>
      <c r="CM18" s="39">
        <v>0</v>
      </c>
      <c r="CN18" s="39">
        <v>0</v>
      </c>
      <c r="CO18">
        <f t="shared" si="7"/>
        <v>0</v>
      </c>
      <c r="CP18" s="39">
        <v>0</v>
      </c>
      <c r="CQ18" s="39">
        <v>0</v>
      </c>
      <c r="CR18" s="39">
        <v>0</v>
      </c>
      <c r="CS18" s="39">
        <v>0</v>
      </c>
      <c r="CT18" s="39">
        <v>0</v>
      </c>
      <c r="CU18" s="39">
        <v>0</v>
      </c>
      <c r="CV18" s="39">
        <v>0</v>
      </c>
      <c r="CW18" s="31"/>
      <c r="CY18">
        <v>0</v>
      </c>
      <c r="DA18" s="43">
        <v>42672</v>
      </c>
      <c r="DB18" s="66">
        <f t="shared" si="5"/>
        <v>3</v>
      </c>
      <c r="DC18" s="39" t="s">
        <v>2</v>
      </c>
      <c r="DE18" s="43">
        <v>42683</v>
      </c>
      <c r="DF18" s="39">
        <v>12</v>
      </c>
      <c r="DG18" s="43">
        <v>42689</v>
      </c>
      <c r="DH18" s="39">
        <v>10</v>
      </c>
      <c r="DI18" s="39">
        <v>10.199999999999999</v>
      </c>
      <c r="DJ18" s="39">
        <v>2.7</v>
      </c>
      <c r="DK18" s="80">
        <v>125</v>
      </c>
      <c r="DL18" s="39">
        <v>5</v>
      </c>
      <c r="DM18" s="39">
        <v>71</v>
      </c>
      <c r="DO18" s="39">
        <v>8</v>
      </c>
      <c r="DP18" s="39">
        <v>125</v>
      </c>
      <c r="DR18" s="39">
        <v>57</v>
      </c>
      <c r="DS18" s="39">
        <v>5.8</v>
      </c>
      <c r="DW18" s="43">
        <v>42678</v>
      </c>
      <c r="DX18" s="39">
        <v>19.8</v>
      </c>
      <c r="DY18" s="39">
        <v>19.100000000000001</v>
      </c>
      <c r="DZ18">
        <v>1</v>
      </c>
      <c r="EA18" s="39">
        <v>19.8</v>
      </c>
      <c r="EB18">
        <v>1</v>
      </c>
      <c r="EC18" s="39">
        <v>1.3</v>
      </c>
      <c r="ED18" s="39">
        <v>1.95</v>
      </c>
      <c r="EE18">
        <v>1</v>
      </c>
      <c r="EF18" s="39">
        <v>1.95</v>
      </c>
      <c r="EG18">
        <v>0</v>
      </c>
      <c r="EH18" s="39">
        <v>90</v>
      </c>
      <c r="EI18" s="62">
        <v>1.7333333333333301</v>
      </c>
      <c r="EJ18" s="39">
        <v>156</v>
      </c>
      <c r="EK18">
        <v>0</v>
      </c>
      <c r="EL18">
        <f t="shared" si="6"/>
        <v>66</v>
      </c>
      <c r="EM18" s="39">
        <v>247</v>
      </c>
      <c r="EN18" s="39">
        <v>1</v>
      </c>
      <c r="ER18" s="39">
        <v>27</v>
      </c>
      <c r="ET18" s="39">
        <v>40</v>
      </c>
      <c r="EU18" s="39">
        <v>20</v>
      </c>
      <c r="EV18" s="39">
        <v>169</v>
      </c>
      <c r="EW18" s="39">
        <v>205</v>
      </c>
      <c r="EX18" s="39">
        <v>28</v>
      </c>
      <c r="EY18" s="39">
        <v>19</v>
      </c>
      <c r="FC18" s="39">
        <v>1</v>
      </c>
      <c r="FD18" s="39">
        <v>0</v>
      </c>
      <c r="FF18" s="39">
        <v>1</v>
      </c>
      <c r="FG18">
        <v>0</v>
      </c>
      <c r="FK18" s="39">
        <v>0</v>
      </c>
      <c r="FL18">
        <v>0</v>
      </c>
      <c r="FM18"/>
      <c r="FN18"/>
      <c r="FO18">
        <v>0</v>
      </c>
      <c r="FQ18" s="44">
        <v>42678</v>
      </c>
      <c r="FR18" s="44" t="s">
        <v>231</v>
      </c>
      <c r="FS18" s="45">
        <v>1</v>
      </c>
      <c r="FT18" s="45">
        <v>1</v>
      </c>
      <c r="FU18" s="45">
        <v>1</v>
      </c>
      <c r="FV18" s="45">
        <v>0</v>
      </c>
      <c r="FW18" s="45">
        <v>1</v>
      </c>
      <c r="FX18" s="45">
        <v>0</v>
      </c>
      <c r="FY18" s="45">
        <v>0</v>
      </c>
      <c r="FZ18" s="45">
        <v>0</v>
      </c>
      <c r="GA18" s="45">
        <v>0</v>
      </c>
      <c r="GB18" s="45">
        <v>1</v>
      </c>
      <c r="GC18" s="45">
        <v>1</v>
      </c>
      <c r="GD18" s="45">
        <v>1</v>
      </c>
      <c r="GE18" s="45">
        <v>1</v>
      </c>
      <c r="GF18" s="45">
        <v>1</v>
      </c>
      <c r="GG18" s="45">
        <v>0</v>
      </c>
      <c r="GH18" s="45">
        <v>0</v>
      </c>
      <c r="GI18" s="45">
        <v>0</v>
      </c>
      <c r="GJ18" s="45">
        <v>0</v>
      </c>
      <c r="GK18" s="45">
        <v>1</v>
      </c>
      <c r="GL18" s="45">
        <v>0</v>
      </c>
      <c r="GM18" s="45">
        <v>1</v>
      </c>
      <c r="GN18" s="45">
        <v>0</v>
      </c>
      <c r="GO18" s="45">
        <v>1</v>
      </c>
      <c r="GP18" s="45">
        <v>1</v>
      </c>
      <c r="GQ18" s="45">
        <v>0</v>
      </c>
      <c r="GR18" s="45">
        <v>1</v>
      </c>
      <c r="GS18" s="45">
        <v>1</v>
      </c>
      <c r="GT18" s="45">
        <v>0</v>
      </c>
      <c r="GU18" s="45">
        <v>1</v>
      </c>
      <c r="GV18" s="45">
        <v>0</v>
      </c>
      <c r="GW18" s="45">
        <v>0</v>
      </c>
      <c r="GX18" s="45">
        <v>0</v>
      </c>
      <c r="GY18" s="15">
        <v>0</v>
      </c>
      <c r="GZ18" s="15">
        <v>0</v>
      </c>
      <c r="HA18" s="45">
        <v>0</v>
      </c>
      <c r="HB18" s="45">
        <v>1</v>
      </c>
      <c r="HC18" s="45">
        <v>0</v>
      </c>
      <c r="HD18" s="45">
        <v>0</v>
      </c>
      <c r="HE18" s="15">
        <v>0</v>
      </c>
      <c r="HF18" s="15">
        <v>0</v>
      </c>
      <c r="HG18" s="45">
        <v>0</v>
      </c>
      <c r="HH18" s="45">
        <v>1</v>
      </c>
      <c r="HI18" s="45">
        <v>1</v>
      </c>
      <c r="HJ18" s="45">
        <v>1</v>
      </c>
      <c r="HK18" s="45">
        <v>0</v>
      </c>
      <c r="HL18" s="45">
        <v>1</v>
      </c>
      <c r="HM18" s="45">
        <v>0</v>
      </c>
      <c r="HN18" s="45">
        <v>0</v>
      </c>
      <c r="HO18" s="45">
        <v>1</v>
      </c>
      <c r="HP18" s="45">
        <v>1</v>
      </c>
      <c r="HQ18" s="45">
        <v>0</v>
      </c>
      <c r="HR18" s="45">
        <v>1</v>
      </c>
      <c r="HS18" s="45">
        <v>0</v>
      </c>
      <c r="HT18" s="45">
        <v>1</v>
      </c>
      <c r="HU18" s="45">
        <v>1</v>
      </c>
      <c r="HV18" s="45">
        <v>0</v>
      </c>
      <c r="HW18" s="45">
        <v>1</v>
      </c>
      <c r="HX18" s="45">
        <v>0</v>
      </c>
      <c r="HY18" s="44">
        <v>42682</v>
      </c>
      <c r="HZ18" s="45" t="s">
        <v>231</v>
      </c>
      <c r="IA18" s="45">
        <v>1</v>
      </c>
      <c r="IB18" s="45">
        <v>1</v>
      </c>
      <c r="IC18" s="45">
        <v>1</v>
      </c>
      <c r="ID18" s="45">
        <v>0</v>
      </c>
      <c r="IE18" s="45">
        <v>1</v>
      </c>
      <c r="IF18" s="45">
        <v>0</v>
      </c>
      <c r="IG18" s="45">
        <v>0</v>
      </c>
      <c r="IH18" s="45">
        <v>0</v>
      </c>
      <c r="II18" s="45">
        <v>0</v>
      </c>
      <c r="IJ18" s="45">
        <v>1</v>
      </c>
      <c r="IK18" s="45">
        <v>1</v>
      </c>
      <c r="IL18" s="45">
        <v>1</v>
      </c>
      <c r="IM18" s="45">
        <v>1</v>
      </c>
      <c r="IN18" s="45">
        <v>1</v>
      </c>
      <c r="IO18" s="45">
        <v>0</v>
      </c>
      <c r="IP18" s="45">
        <v>0</v>
      </c>
      <c r="IQ18" s="45">
        <v>0</v>
      </c>
      <c r="IR18" s="45">
        <v>0</v>
      </c>
      <c r="IS18" s="45">
        <v>1</v>
      </c>
      <c r="IT18" s="45">
        <v>0</v>
      </c>
      <c r="IU18" s="45">
        <v>1</v>
      </c>
      <c r="IV18" s="45">
        <v>0</v>
      </c>
      <c r="IW18" s="45">
        <v>1</v>
      </c>
      <c r="IX18" s="45">
        <v>1</v>
      </c>
      <c r="IY18" s="45">
        <v>0</v>
      </c>
      <c r="IZ18" s="45">
        <v>1</v>
      </c>
      <c r="JA18" s="45">
        <v>1</v>
      </c>
      <c r="JB18" s="45">
        <v>0</v>
      </c>
      <c r="JC18" s="45">
        <v>1</v>
      </c>
      <c r="JD18" s="45">
        <v>0</v>
      </c>
      <c r="JE18" s="45">
        <v>0</v>
      </c>
      <c r="JF18" s="45">
        <v>0</v>
      </c>
      <c r="JG18" s="15">
        <v>0</v>
      </c>
      <c r="JH18" s="15">
        <v>0</v>
      </c>
      <c r="JI18" s="45">
        <v>0</v>
      </c>
      <c r="JJ18" s="45">
        <v>1</v>
      </c>
      <c r="JK18" s="45">
        <v>0</v>
      </c>
      <c r="JL18" s="45">
        <v>0</v>
      </c>
      <c r="JM18" s="15">
        <v>0</v>
      </c>
      <c r="JN18" s="15">
        <v>0</v>
      </c>
      <c r="JO18" s="45">
        <v>0</v>
      </c>
      <c r="JP18" s="45">
        <v>0</v>
      </c>
      <c r="JQ18" s="45">
        <v>0</v>
      </c>
      <c r="JR18" s="45">
        <v>1</v>
      </c>
      <c r="JS18" s="45">
        <v>1</v>
      </c>
      <c r="JT18" s="45">
        <v>1</v>
      </c>
      <c r="JU18" s="45">
        <v>1</v>
      </c>
      <c r="JV18" s="45">
        <v>0</v>
      </c>
      <c r="JW18" s="45">
        <v>1</v>
      </c>
      <c r="JX18" s="45">
        <v>1</v>
      </c>
      <c r="JY18" s="45">
        <v>0</v>
      </c>
      <c r="JZ18" s="45">
        <v>1</v>
      </c>
      <c r="KA18" s="45">
        <v>0</v>
      </c>
      <c r="KB18" s="45">
        <v>1</v>
      </c>
      <c r="KC18" s="45">
        <v>1</v>
      </c>
      <c r="KD18" s="45">
        <v>1</v>
      </c>
      <c r="KE18" s="45">
        <v>1</v>
      </c>
      <c r="KF18" s="45">
        <v>0</v>
      </c>
      <c r="KG18"/>
      <c r="KH18"/>
      <c r="KI18">
        <v>1</v>
      </c>
      <c r="KJ18">
        <v>1</v>
      </c>
      <c r="KK18">
        <v>1</v>
      </c>
      <c r="KL18">
        <v>0</v>
      </c>
      <c r="KM18">
        <v>1</v>
      </c>
      <c r="KN18">
        <v>0</v>
      </c>
      <c r="KO18">
        <v>0</v>
      </c>
      <c r="KP18">
        <v>0</v>
      </c>
      <c r="KQ18">
        <v>0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0</v>
      </c>
      <c r="KX18">
        <v>0</v>
      </c>
      <c r="KY18">
        <v>0</v>
      </c>
      <c r="KZ18">
        <v>0</v>
      </c>
      <c r="LA18">
        <v>1</v>
      </c>
      <c r="LB18">
        <v>0</v>
      </c>
      <c r="LC18">
        <v>1</v>
      </c>
      <c r="LD18">
        <v>0</v>
      </c>
      <c r="LE18">
        <v>1</v>
      </c>
      <c r="LF18">
        <v>1</v>
      </c>
      <c r="LG18">
        <v>0</v>
      </c>
      <c r="LH18">
        <v>1</v>
      </c>
      <c r="LI18">
        <v>1</v>
      </c>
      <c r="LJ18">
        <v>0</v>
      </c>
      <c r="LK18">
        <v>1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1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1</v>
      </c>
      <c r="LY18">
        <v>1</v>
      </c>
      <c r="LZ18">
        <v>1</v>
      </c>
      <c r="MA18">
        <v>0</v>
      </c>
      <c r="MB18">
        <v>1</v>
      </c>
      <c r="MC18">
        <v>1</v>
      </c>
      <c r="MD18">
        <v>0</v>
      </c>
      <c r="ME18">
        <v>1</v>
      </c>
      <c r="MF18">
        <v>1</v>
      </c>
      <c r="MG18">
        <v>0</v>
      </c>
      <c r="MH18">
        <v>1</v>
      </c>
      <c r="MI18">
        <v>0</v>
      </c>
      <c r="MJ18">
        <v>1</v>
      </c>
      <c r="MK18">
        <v>1</v>
      </c>
      <c r="ML18">
        <v>1</v>
      </c>
      <c r="MM18">
        <v>1</v>
      </c>
      <c r="MN18">
        <v>0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0</v>
      </c>
      <c r="MU18" s="39">
        <v>1</v>
      </c>
    </row>
    <row r="19" spans="1:359" s="39" customFormat="1" ht="18" x14ac:dyDescent="0.25">
      <c r="A19" t="s">
        <v>411</v>
      </c>
      <c r="B19" s="40">
        <v>43</v>
      </c>
      <c r="C19" s="40">
        <v>0</v>
      </c>
      <c r="D19" s="40">
        <v>0</v>
      </c>
      <c r="E19" s="40"/>
      <c r="F19" s="55">
        <v>1360</v>
      </c>
      <c r="G19" s="55"/>
      <c r="H19" s="57">
        <v>0</v>
      </c>
      <c r="I19" s="57">
        <v>0</v>
      </c>
      <c r="J19" s="57"/>
      <c r="K19" s="40"/>
      <c r="L19" s="40"/>
      <c r="M19" s="40"/>
      <c r="N19" s="40">
        <v>0</v>
      </c>
      <c r="O19" s="42">
        <v>44825</v>
      </c>
      <c r="P19" s="64">
        <f t="shared" si="0"/>
        <v>1360</v>
      </c>
      <c r="Q19" s="39">
        <v>1</v>
      </c>
      <c r="R19" s="39">
        <v>1</v>
      </c>
      <c r="S19" s="39">
        <v>0</v>
      </c>
      <c r="T19" s="39">
        <v>94</v>
      </c>
      <c r="U19" s="39">
        <v>0</v>
      </c>
      <c r="V19" s="39">
        <v>1</v>
      </c>
      <c r="W19" s="39">
        <v>0</v>
      </c>
      <c r="X19" s="39">
        <v>0</v>
      </c>
      <c r="Y19" s="39">
        <v>0</v>
      </c>
      <c r="Z19" s="39">
        <v>0</v>
      </c>
      <c r="AA19" s="39">
        <v>0</v>
      </c>
      <c r="AB19" s="39">
        <v>0</v>
      </c>
      <c r="AC19" s="39">
        <v>0</v>
      </c>
      <c r="AD19" s="39">
        <v>0</v>
      </c>
      <c r="AE19" s="39">
        <v>0</v>
      </c>
      <c r="AF19" s="39">
        <v>0</v>
      </c>
      <c r="AG19" s="39">
        <v>0</v>
      </c>
      <c r="AH19" s="39">
        <v>0</v>
      </c>
      <c r="AI19" s="39">
        <v>0</v>
      </c>
      <c r="AJ19" s="39">
        <v>0</v>
      </c>
      <c r="AK19" s="39">
        <v>0</v>
      </c>
      <c r="AL19" s="39">
        <v>0</v>
      </c>
      <c r="AM19" s="39">
        <v>0</v>
      </c>
      <c r="AN19" s="39">
        <v>92</v>
      </c>
      <c r="AO19" s="39">
        <v>172</v>
      </c>
      <c r="AP19" s="39">
        <v>31.1</v>
      </c>
      <c r="AQ19" s="39">
        <v>37</v>
      </c>
      <c r="AR19" s="39">
        <v>129</v>
      </c>
      <c r="AS19" s="39">
        <v>90</v>
      </c>
      <c r="AT19" s="39">
        <v>3</v>
      </c>
      <c r="AU19">
        <v>1</v>
      </c>
      <c r="AV19" s="39">
        <v>114</v>
      </c>
      <c r="AW19" s="43">
        <v>43465</v>
      </c>
      <c r="AX19" s="43">
        <v>43465</v>
      </c>
      <c r="AY19" s="39">
        <v>0</v>
      </c>
      <c r="AZ19" s="43">
        <v>43459</v>
      </c>
      <c r="BA19" s="39">
        <v>1</v>
      </c>
      <c r="BB19" s="39">
        <v>1</v>
      </c>
      <c r="BC19" s="39">
        <v>0</v>
      </c>
      <c r="BD19" s="39">
        <v>0</v>
      </c>
      <c r="BE19" s="39">
        <v>0</v>
      </c>
      <c r="BF19" s="39">
        <v>1</v>
      </c>
      <c r="BG19" s="39">
        <v>0</v>
      </c>
      <c r="BH19" s="39">
        <v>0</v>
      </c>
      <c r="BI19" s="39">
        <v>1</v>
      </c>
      <c r="BJ19">
        <v>0</v>
      </c>
      <c r="BK19">
        <v>0</v>
      </c>
      <c r="BL19">
        <v>0</v>
      </c>
      <c r="BM19" s="66">
        <v>0</v>
      </c>
      <c r="BN19">
        <v>0</v>
      </c>
      <c r="BO19">
        <v>0</v>
      </c>
      <c r="BP19" s="66">
        <f t="shared" si="12"/>
        <v>0</v>
      </c>
      <c r="BQ19">
        <v>0</v>
      </c>
      <c r="BR19">
        <v>0</v>
      </c>
      <c r="BS19">
        <v>0</v>
      </c>
      <c r="BT19">
        <v>0</v>
      </c>
      <c r="BU19" s="66">
        <f t="shared" si="13"/>
        <v>0</v>
      </c>
      <c r="BV19">
        <v>0</v>
      </c>
      <c r="BW19">
        <v>0</v>
      </c>
      <c r="BX19" s="66">
        <f t="shared" si="3"/>
        <v>0</v>
      </c>
      <c r="BY19">
        <v>0</v>
      </c>
      <c r="BZ19">
        <f t="shared" si="4"/>
        <v>0</v>
      </c>
      <c r="CA19" s="39">
        <v>0</v>
      </c>
      <c r="CB19" s="39">
        <v>0</v>
      </c>
      <c r="CC19" s="39">
        <v>3</v>
      </c>
      <c r="CD19" s="39">
        <v>0</v>
      </c>
      <c r="CE19" s="39">
        <v>0</v>
      </c>
      <c r="CF19" s="39">
        <v>0</v>
      </c>
      <c r="CG19" s="39">
        <v>0</v>
      </c>
      <c r="CH19" s="39">
        <v>0</v>
      </c>
      <c r="CI19" s="39">
        <v>0</v>
      </c>
      <c r="CJ19" s="39">
        <v>1</v>
      </c>
      <c r="CK19" s="39">
        <v>0</v>
      </c>
      <c r="CL19" s="39">
        <v>0</v>
      </c>
      <c r="CM19" s="39">
        <v>0</v>
      </c>
      <c r="CN19" s="39">
        <v>0</v>
      </c>
      <c r="CO19">
        <v>1</v>
      </c>
      <c r="CP19" s="39">
        <v>1</v>
      </c>
      <c r="CQ19" s="39">
        <v>0</v>
      </c>
      <c r="CR19" s="39">
        <v>0</v>
      </c>
      <c r="CS19" s="39">
        <v>0</v>
      </c>
      <c r="CT19" s="39">
        <v>0</v>
      </c>
      <c r="CU19" s="39">
        <v>0</v>
      </c>
      <c r="CV19" s="39">
        <v>1</v>
      </c>
      <c r="CW19" s="31"/>
      <c r="CX19" s="39">
        <v>1</v>
      </c>
      <c r="CY19">
        <v>0</v>
      </c>
      <c r="DA19" s="43">
        <v>43467</v>
      </c>
      <c r="DB19" s="66">
        <f t="shared" si="5"/>
        <v>8</v>
      </c>
      <c r="DC19" s="39" t="s">
        <v>1</v>
      </c>
      <c r="DD19" s="39">
        <v>0</v>
      </c>
      <c r="DE19" s="43">
        <v>43474</v>
      </c>
      <c r="DF19" s="39">
        <v>8</v>
      </c>
      <c r="DG19" s="43">
        <v>43467</v>
      </c>
      <c r="DH19" s="39">
        <v>13</v>
      </c>
      <c r="DI19" s="39">
        <v>5.4</v>
      </c>
      <c r="DJ19" s="39">
        <v>1.5</v>
      </c>
      <c r="DK19" s="80">
        <v>201</v>
      </c>
      <c r="DL19" s="39">
        <v>6</v>
      </c>
      <c r="DM19" s="39">
        <v>92</v>
      </c>
      <c r="DO19" s="39">
        <v>2</v>
      </c>
      <c r="DP19" s="39">
        <v>201</v>
      </c>
      <c r="DR19" s="39">
        <v>63</v>
      </c>
      <c r="DS19" s="39">
        <v>3.1</v>
      </c>
      <c r="DU19" s="39">
        <v>77</v>
      </c>
      <c r="DV19" s="39">
        <v>52</v>
      </c>
      <c r="DW19" s="43">
        <v>43465</v>
      </c>
      <c r="DX19" s="39">
        <v>7.9</v>
      </c>
      <c r="DY19">
        <f>EA19</f>
        <v>10</v>
      </c>
      <c r="DZ19">
        <v>0</v>
      </c>
      <c r="EA19" s="39">
        <v>10</v>
      </c>
      <c r="EB19">
        <v>0</v>
      </c>
      <c r="EC19" s="39">
        <v>1.07</v>
      </c>
      <c r="ED19">
        <f>EF19</f>
        <v>1.07</v>
      </c>
      <c r="EE19">
        <v>0</v>
      </c>
      <c r="EF19" s="39">
        <v>1.07</v>
      </c>
      <c r="EG19">
        <v>0</v>
      </c>
      <c r="EH19" s="39">
        <v>280</v>
      </c>
      <c r="EI19" s="62">
        <v>0.68928571428571395</v>
      </c>
      <c r="EJ19" s="39">
        <v>193</v>
      </c>
      <c r="EK19">
        <v>0</v>
      </c>
      <c r="EL19">
        <f t="shared" si="6"/>
        <v>-87</v>
      </c>
      <c r="EM19" s="39">
        <v>280</v>
      </c>
      <c r="EN19" s="39">
        <v>1</v>
      </c>
      <c r="EO19" s="39">
        <v>0</v>
      </c>
      <c r="ER19" s="39">
        <v>23</v>
      </c>
      <c r="ES19" s="39">
        <v>34</v>
      </c>
      <c r="ET19" s="39">
        <v>21</v>
      </c>
      <c r="EU19" s="39">
        <v>14</v>
      </c>
      <c r="EV19" s="39">
        <v>79</v>
      </c>
      <c r="EW19" s="39">
        <v>90</v>
      </c>
      <c r="EX19" s="39">
        <v>12</v>
      </c>
      <c r="EY19" s="39">
        <v>5</v>
      </c>
      <c r="EZ19" s="39">
        <v>298</v>
      </c>
      <c r="FB19">
        <v>0</v>
      </c>
      <c r="FC19" s="39">
        <v>1</v>
      </c>
      <c r="FD19" s="39">
        <v>0</v>
      </c>
      <c r="FF19" s="39">
        <v>1</v>
      </c>
      <c r="FG19">
        <v>0</v>
      </c>
      <c r="FK19">
        <v>0</v>
      </c>
      <c r="FL19">
        <v>0</v>
      </c>
      <c r="FM19"/>
      <c r="FN19"/>
      <c r="FO19">
        <v>0</v>
      </c>
      <c r="FQ19" s="44">
        <v>43464</v>
      </c>
      <c r="FR19" s="44" t="s">
        <v>230</v>
      </c>
      <c r="FS19" s="45">
        <v>0</v>
      </c>
      <c r="FT19" s="45">
        <v>0</v>
      </c>
      <c r="FU19" s="45">
        <v>1</v>
      </c>
      <c r="FV19" s="45">
        <v>0</v>
      </c>
      <c r="FW19" s="45">
        <v>1</v>
      </c>
      <c r="FX19" s="45">
        <v>0</v>
      </c>
      <c r="FY19" s="45">
        <v>0</v>
      </c>
      <c r="FZ19" s="46">
        <v>0</v>
      </c>
      <c r="GA19" s="45">
        <v>1</v>
      </c>
      <c r="GB19" s="45">
        <v>1</v>
      </c>
      <c r="GC19" s="45">
        <v>1</v>
      </c>
      <c r="GD19" s="45">
        <v>1</v>
      </c>
      <c r="GE19" s="45">
        <v>0</v>
      </c>
      <c r="GF19" s="45">
        <v>0</v>
      </c>
      <c r="GG19" s="45">
        <v>0</v>
      </c>
      <c r="GH19" s="45">
        <v>0</v>
      </c>
      <c r="GI19" s="45">
        <v>0</v>
      </c>
      <c r="GJ19" s="45">
        <v>0</v>
      </c>
      <c r="GK19" s="45">
        <v>1</v>
      </c>
      <c r="GL19" s="45">
        <v>0</v>
      </c>
      <c r="GM19" s="45">
        <v>1</v>
      </c>
      <c r="GN19" s="45">
        <v>0</v>
      </c>
      <c r="GO19" s="45">
        <v>1</v>
      </c>
      <c r="GP19" s="45">
        <v>1</v>
      </c>
      <c r="GQ19" s="45">
        <v>0</v>
      </c>
      <c r="GR19" s="45">
        <v>1</v>
      </c>
      <c r="GS19" s="45">
        <v>1</v>
      </c>
      <c r="GT19" s="45">
        <v>1</v>
      </c>
      <c r="GU19" s="45">
        <v>1</v>
      </c>
      <c r="GV19" s="45">
        <v>0</v>
      </c>
      <c r="GW19" s="45">
        <v>0</v>
      </c>
      <c r="GX19" s="45">
        <v>0</v>
      </c>
      <c r="GY19" s="15">
        <v>0</v>
      </c>
      <c r="GZ19" s="15">
        <v>0</v>
      </c>
      <c r="HA19" s="45">
        <v>0</v>
      </c>
      <c r="HB19" s="45">
        <v>1</v>
      </c>
      <c r="HC19" s="45">
        <v>0</v>
      </c>
      <c r="HD19" s="45">
        <v>0</v>
      </c>
      <c r="HE19" s="15">
        <v>0</v>
      </c>
      <c r="HF19" s="15">
        <v>0</v>
      </c>
      <c r="HG19" s="45">
        <v>0</v>
      </c>
      <c r="HH19" s="45">
        <v>1</v>
      </c>
      <c r="HI19" s="45">
        <v>1</v>
      </c>
      <c r="HJ19" s="45">
        <v>1</v>
      </c>
      <c r="HK19" s="45">
        <v>0</v>
      </c>
      <c r="HL19" s="45">
        <v>1</v>
      </c>
      <c r="HM19" s="45"/>
      <c r="HN19" s="45">
        <v>0</v>
      </c>
      <c r="HO19" s="45">
        <v>1</v>
      </c>
      <c r="HP19" s="45">
        <v>0</v>
      </c>
      <c r="HQ19" s="45">
        <v>0</v>
      </c>
      <c r="HR19" s="45">
        <v>0</v>
      </c>
      <c r="HS19" s="45">
        <v>0</v>
      </c>
      <c r="HT19" s="45">
        <v>1</v>
      </c>
      <c r="HU19" s="45">
        <v>1</v>
      </c>
      <c r="HV19" s="45">
        <v>0</v>
      </c>
      <c r="HW19" s="45">
        <v>1</v>
      </c>
      <c r="HX19" s="45">
        <v>1</v>
      </c>
      <c r="HY19" s="44">
        <v>43466</v>
      </c>
      <c r="HZ19" s="45" t="s">
        <v>230</v>
      </c>
      <c r="IA19" s="45">
        <v>0</v>
      </c>
      <c r="IB19" s="45">
        <v>0</v>
      </c>
      <c r="IC19" s="45">
        <v>1</v>
      </c>
      <c r="ID19" s="45">
        <v>0</v>
      </c>
      <c r="IE19" s="45">
        <v>1</v>
      </c>
      <c r="IF19" s="45">
        <v>0</v>
      </c>
      <c r="IG19" s="45">
        <v>0</v>
      </c>
      <c r="IH19" s="46">
        <v>0</v>
      </c>
      <c r="II19" s="45">
        <v>1</v>
      </c>
      <c r="IJ19" s="45">
        <v>1</v>
      </c>
      <c r="IK19" s="45">
        <v>1</v>
      </c>
      <c r="IL19" s="45">
        <v>1</v>
      </c>
      <c r="IM19" s="45">
        <v>0</v>
      </c>
      <c r="IN19" s="45">
        <v>0</v>
      </c>
      <c r="IO19" s="45">
        <v>0</v>
      </c>
      <c r="IP19" s="45">
        <v>0</v>
      </c>
      <c r="IQ19" s="45">
        <v>0</v>
      </c>
      <c r="IR19" s="45">
        <v>0</v>
      </c>
      <c r="IS19" s="45">
        <v>1</v>
      </c>
      <c r="IT19" s="45">
        <v>0</v>
      </c>
      <c r="IU19" s="45">
        <v>1</v>
      </c>
      <c r="IV19" s="45">
        <v>0</v>
      </c>
      <c r="IW19" s="45">
        <v>1</v>
      </c>
      <c r="IX19" s="45">
        <v>1</v>
      </c>
      <c r="IY19" s="45">
        <v>0</v>
      </c>
      <c r="IZ19" s="45">
        <v>1</v>
      </c>
      <c r="JA19" s="45">
        <v>1</v>
      </c>
      <c r="JB19" s="45">
        <v>1</v>
      </c>
      <c r="JC19" s="45">
        <v>1</v>
      </c>
      <c r="JD19" s="45">
        <v>0</v>
      </c>
      <c r="JE19" s="45">
        <v>0</v>
      </c>
      <c r="JF19" s="45">
        <v>0</v>
      </c>
      <c r="JG19" s="15">
        <v>0</v>
      </c>
      <c r="JH19" s="15">
        <v>0</v>
      </c>
      <c r="JI19" s="45">
        <v>0</v>
      </c>
      <c r="JJ19" s="45">
        <v>1</v>
      </c>
      <c r="JK19" s="45">
        <v>0</v>
      </c>
      <c r="JL19" s="45">
        <v>0</v>
      </c>
      <c r="JM19" s="15">
        <v>0</v>
      </c>
      <c r="JN19" s="15">
        <v>0</v>
      </c>
      <c r="JO19" s="45">
        <v>0</v>
      </c>
      <c r="JP19" s="45">
        <v>0</v>
      </c>
      <c r="JQ19" s="45">
        <v>1</v>
      </c>
      <c r="JR19" s="45">
        <v>1</v>
      </c>
      <c r="JS19" s="45">
        <v>0</v>
      </c>
      <c r="JT19" s="45">
        <v>1</v>
      </c>
      <c r="JU19" s="45"/>
      <c r="JV19" s="45">
        <v>1</v>
      </c>
      <c r="JW19" s="45">
        <v>1</v>
      </c>
      <c r="JX19" s="45">
        <v>0</v>
      </c>
      <c r="JY19" s="45">
        <v>0</v>
      </c>
      <c r="JZ19" s="45">
        <v>0</v>
      </c>
      <c r="KA19" s="45">
        <v>0</v>
      </c>
      <c r="KB19" s="45">
        <v>1</v>
      </c>
      <c r="KC19" s="45">
        <v>1</v>
      </c>
      <c r="KD19" s="45">
        <v>0</v>
      </c>
      <c r="KE19" s="45">
        <v>1</v>
      </c>
      <c r="KF19" s="45">
        <v>1</v>
      </c>
      <c r="KG19"/>
      <c r="KH19"/>
      <c r="KI19">
        <v>0</v>
      </c>
      <c r="KJ19">
        <v>0</v>
      </c>
      <c r="KK19">
        <v>1</v>
      </c>
      <c r="KL19">
        <v>0</v>
      </c>
      <c r="KM19">
        <v>1</v>
      </c>
      <c r="KN19">
        <v>0</v>
      </c>
      <c r="KO19">
        <v>0</v>
      </c>
      <c r="KP19">
        <v>0</v>
      </c>
      <c r="KQ19">
        <v>1</v>
      </c>
      <c r="KR19">
        <v>1</v>
      </c>
      <c r="KS19">
        <v>1</v>
      </c>
      <c r="KT19">
        <v>1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1</v>
      </c>
      <c r="LB19">
        <v>0</v>
      </c>
      <c r="LC19">
        <v>1</v>
      </c>
      <c r="LD19">
        <v>0</v>
      </c>
      <c r="LE19">
        <v>1</v>
      </c>
      <c r="LF19">
        <v>1</v>
      </c>
      <c r="LG19">
        <v>0</v>
      </c>
      <c r="LH19">
        <v>1</v>
      </c>
      <c r="LI19">
        <v>1</v>
      </c>
      <c r="LJ19">
        <v>1</v>
      </c>
      <c r="LK19">
        <v>1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1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1</v>
      </c>
      <c r="LY19">
        <v>1</v>
      </c>
      <c r="LZ19">
        <v>1</v>
      </c>
      <c r="MA19">
        <v>0</v>
      </c>
      <c r="MB19">
        <v>1</v>
      </c>
      <c r="MC19">
        <v>0</v>
      </c>
      <c r="MD19">
        <v>1</v>
      </c>
      <c r="ME19">
        <v>1</v>
      </c>
      <c r="MF19">
        <v>0</v>
      </c>
      <c r="MG19">
        <v>0</v>
      </c>
      <c r="MH19">
        <v>0</v>
      </c>
      <c r="MI19">
        <v>0</v>
      </c>
      <c r="MJ19">
        <v>1</v>
      </c>
      <c r="MK19">
        <v>1</v>
      </c>
      <c r="ML19">
        <v>0</v>
      </c>
      <c r="MM19">
        <v>1</v>
      </c>
      <c r="MN19">
        <v>1</v>
      </c>
      <c r="MO19">
        <v>1</v>
      </c>
      <c r="MP19">
        <v>0</v>
      </c>
      <c r="MQ19">
        <v>1</v>
      </c>
      <c r="MR19">
        <v>1</v>
      </c>
      <c r="MS19">
        <v>1</v>
      </c>
      <c r="MT19">
        <v>0</v>
      </c>
    </row>
    <row r="20" spans="1:359" s="39" customFormat="1" ht="18" x14ac:dyDescent="0.25">
      <c r="A20" t="s">
        <v>412</v>
      </c>
      <c r="B20" s="40">
        <v>45</v>
      </c>
      <c r="C20" s="40">
        <v>0</v>
      </c>
      <c r="D20" s="40">
        <v>0</v>
      </c>
      <c r="E20" s="40"/>
      <c r="F20" s="55">
        <v>3</v>
      </c>
      <c r="G20" s="55"/>
      <c r="H20" s="57">
        <v>0</v>
      </c>
      <c r="I20" s="57">
        <v>0</v>
      </c>
      <c r="J20" s="57"/>
      <c r="K20" s="40"/>
      <c r="L20" s="40"/>
      <c r="M20" s="40"/>
      <c r="N20" s="40">
        <v>0</v>
      </c>
      <c r="O20" s="42">
        <v>42430</v>
      </c>
      <c r="P20" s="64">
        <f t="shared" si="0"/>
        <v>3</v>
      </c>
      <c r="Q20" s="39">
        <v>1</v>
      </c>
      <c r="R20" s="39">
        <v>1</v>
      </c>
      <c r="S20" s="39">
        <v>1</v>
      </c>
      <c r="T20" s="39">
        <v>75</v>
      </c>
      <c r="U20" s="39">
        <v>0</v>
      </c>
      <c r="V20" s="39">
        <v>0</v>
      </c>
      <c r="W20" s="39">
        <v>0</v>
      </c>
      <c r="X20" s="39">
        <v>0</v>
      </c>
      <c r="Y20" s="39">
        <v>0</v>
      </c>
      <c r="Z20" s="39">
        <v>0</v>
      </c>
      <c r="AA20" s="39">
        <v>0</v>
      </c>
      <c r="AB20" s="39">
        <v>0</v>
      </c>
      <c r="AC20" s="39">
        <v>0</v>
      </c>
      <c r="AD20" s="39">
        <v>0</v>
      </c>
      <c r="AE20" s="39">
        <v>0</v>
      </c>
      <c r="AF20" s="39">
        <v>0</v>
      </c>
      <c r="AG20" s="39">
        <v>0</v>
      </c>
      <c r="AH20" s="39">
        <v>0</v>
      </c>
      <c r="AI20" s="39">
        <v>0</v>
      </c>
      <c r="AJ20" s="39">
        <v>0</v>
      </c>
      <c r="AK20" s="39">
        <v>0</v>
      </c>
      <c r="AL20" s="39">
        <v>0</v>
      </c>
      <c r="AM20" s="39">
        <v>0</v>
      </c>
      <c r="AN20" s="39">
        <v>69</v>
      </c>
      <c r="AO20" s="39">
        <v>181</v>
      </c>
      <c r="AP20" s="39">
        <v>21.1</v>
      </c>
      <c r="AQ20" s="39">
        <v>37.5</v>
      </c>
      <c r="AR20" s="39">
        <v>109</v>
      </c>
      <c r="AS20" s="39">
        <v>74</v>
      </c>
      <c r="AT20" s="39">
        <v>2</v>
      </c>
      <c r="AU20">
        <v>0</v>
      </c>
      <c r="AV20" s="39">
        <v>111</v>
      </c>
      <c r="AW20" s="43">
        <v>42426</v>
      </c>
      <c r="AX20" s="43">
        <v>42427</v>
      </c>
      <c r="AY20" s="39">
        <v>0</v>
      </c>
      <c r="AZ20" s="43">
        <v>42422</v>
      </c>
      <c r="BA20" s="39">
        <v>1</v>
      </c>
      <c r="BB20" s="39">
        <v>0</v>
      </c>
      <c r="BC20" s="39">
        <v>0</v>
      </c>
      <c r="BD20" s="39">
        <v>0</v>
      </c>
      <c r="BE20" s="39">
        <v>0</v>
      </c>
      <c r="BF20" s="39">
        <v>0</v>
      </c>
      <c r="BG20" s="39">
        <v>0</v>
      </c>
      <c r="BH20" s="39">
        <v>0</v>
      </c>
      <c r="BI20" s="39">
        <v>0</v>
      </c>
      <c r="BJ20">
        <v>0</v>
      </c>
      <c r="BK20">
        <v>0</v>
      </c>
      <c r="BL20">
        <v>0</v>
      </c>
      <c r="BM20" s="66">
        <v>0</v>
      </c>
      <c r="BN20">
        <v>0</v>
      </c>
      <c r="BO20">
        <v>0</v>
      </c>
      <c r="BP20" s="66">
        <f t="shared" si="12"/>
        <v>0</v>
      </c>
      <c r="BQ20">
        <v>0</v>
      </c>
      <c r="BR20">
        <v>0</v>
      </c>
      <c r="BS20">
        <v>0</v>
      </c>
      <c r="BT20">
        <v>0</v>
      </c>
      <c r="BU20" s="66">
        <f t="shared" si="13"/>
        <v>0</v>
      </c>
      <c r="BV20">
        <v>0</v>
      </c>
      <c r="BW20">
        <v>0</v>
      </c>
      <c r="BX20" s="66">
        <f t="shared" si="3"/>
        <v>0</v>
      </c>
      <c r="BY20">
        <v>0</v>
      </c>
      <c r="BZ20">
        <f t="shared" si="4"/>
        <v>0</v>
      </c>
      <c r="CA20" s="39">
        <v>0</v>
      </c>
      <c r="CB20" s="39">
        <v>0</v>
      </c>
      <c r="CD20" s="39">
        <v>0</v>
      </c>
      <c r="CE20" s="39">
        <v>0</v>
      </c>
      <c r="CF20" s="39">
        <v>0</v>
      </c>
      <c r="CG20" s="39">
        <v>0</v>
      </c>
      <c r="CH20" s="39">
        <v>1</v>
      </c>
      <c r="CI20" s="39">
        <v>0</v>
      </c>
      <c r="CJ20" s="39">
        <v>0</v>
      </c>
      <c r="CK20" s="39">
        <v>0</v>
      </c>
      <c r="CL20" s="39">
        <v>1</v>
      </c>
      <c r="CM20" s="39">
        <v>0</v>
      </c>
      <c r="CN20" s="39">
        <v>0</v>
      </c>
      <c r="CO20">
        <v>1</v>
      </c>
      <c r="CP20" s="39">
        <v>1</v>
      </c>
      <c r="CQ20" s="39">
        <v>0</v>
      </c>
      <c r="CR20" s="39">
        <v>0</v>
      </c>
      <c r="CS20" s="39">
        <v>0</v>
      </c>
      <c r="CT20" s="39">
        <v>0</v>
      </c>
      <c r="CU20" s="39">
        <v>0</v>
      </c>
      <c r="CV20" s="39">
        <v>0</v>
      </c>
      <c r="CW20" s="31"/>
      <c r="CY20">
        <v>0</v>
      </c>
      <c r="DA20" s="43">
        <v>42430</v>
      </c>
      <c r="DB20" s="66">
        <f t="shared" si="5"/>
        <v>8</v>
      </c>
      <c r="DC20" s="39" t="s">
        <v>1</v>
      </c>
      <c r="DD20" s="39">
        <v>0</v>
      </c>
      <c r="DE20" s="43">
        <v>42440</v>
      </c>
      <c r="DF20" s="39">
        <v>11</v>
      </c>
      <c r="DG20" s="43">
        <v>42430</v>
      </c>
      <c r="DH20" s="39">
        <v>13</v>
      </c>
      <c r="DI20" s="39">
        <v>2.8</v>
      </c>
      <c r="DJ20" s="39">
        <v>2</v>
      </c>
      <c r="DK20" s="80">
        <v>311</v>
      </c>
      <c r="DL20" s="39">
        <v>4</v>
      </c>
      <c r="DM20" s="39">
        <v>77</v>
      </c>
      <c r="DO20" s="39">
        <v>1</v>
      </c>
      <c r="DP20" s="39">
        <v>361</v>
      </c>
      <c r="DR20" s="39">
        <v>65</v>
      </c>
      <c r="DS20" s="39">
        <v>1.9</v>
      </c>
      <c r="DU20" s="39">
        <v>55</v>
      </c>
      <c r="DW20" s="43">
        <v>42426</v>
      </c>
      <c r="DX20" s="39">
        <v>7</v>
      </c>
      <c r="DY20" s="39">
        <v>5.7</v>
      </c>
      <c r="DZ20">
        <v>0</v>
      </c>
      <c r="EA20" s="39">
        <v>7</v>
      </c>
      <c r="EB20">
        <v>0</v>
      </c>
      <c r="EC20" s="39">
        <v>0.76</v>
      </c>
      <c r="ED20" s="39">
        <v>0.79</v>
      </c>
      <c r="EE20">
        <v>0</v>
      </c>
      <c r="EF20" s="39">
        <v>0.79</v>
      </c>
      <c r="EG20">
        <v>0</v>
      </c>
      <c r="EH20" s="39">
        <v>43</v>
      </c>
      <c r="EI20" s="62">
        <v>1.97674418604651</v>
      </c>
      <c r="EJ20" s="39">
        <v>85</v>
      </c>
      <c r="EK20">
        <v>0</v>
      </c>
      <c r="EL20">
        <f t="shared" si="6"/>
        <v>42</v>
      </c>
      <c r="EM20" s="39">
        <v>85</v>
      </c>
      <c r="EN20">
        <v>0</v>
      </c>
      <c r="EO20" s="39">
        <v>0.15</v>
      </c>
      <c r="ER20" s="39">
        <v>25</v>
      </c>
      <c r="ES20" s="39">
        <v>34</v>
      </c>
      <c r="ET20" s="39">
        <v>59</v>
      </c>
      <c r="EU20" s="39">
        <v>50</v>
      </c>
      <c r="EV20" s="39">
        <v>103</v>
      </c>
      <c r="EW20" s="39">
        <v>95</v>
      </c>
      <c r="EX20" s="39">
        <v>18</v>
      </c>
      <c r="EY20" s="39">
        <v>8</v>
      </c>
      <c r="FA20" s="39">
        <v>7.44</v>
      </c>
      <c r="FC20" s="39">
        <v>1</v>
      </c>
      <c r="FD20" s="39">
        <v>0</v>
      </c>
      <c r="FF20" s="39">
        <v>1</v>
      </c>
      <c r="FG20">
        <v>0</v>
      </c>
      <c r="FK20">
        <v>0</v>
      </c>
      <c r="FL20">
        <v>0</v>
      </c>
      <c r="FM20"/>
      <c r="FN20"/>
      <c r="FO20">
        <v>0</v>
      </c>
      <c r="FQ20" s="44">
        <v>42430</v>
      </c>
      <c r="FR20" s="44" t="s">
        <v>231</v>
      </c>
      <c r="FS20" s="45">
        <v>1</v>
      </c>
      <c r="FT20" s="45">
        <v>0</v>
      </c>
      <c r="FU20" s="45">
        <v>1</v>
      </c>
      <c r="FV20" s="45">
        <v>0</v>
      </c>
      <c r="FW20" s="45">
        <v>1</v>
      </c>
      <c r="FX20" s="45">
        <v>1</v>
      </c>
      <c r="FY20" s="45">
        <v>0</v>
      </c>
      <c r="FZ20" s="45">
        <v>0</v>
      </c>
      <c r="GA20" s="45">
        <v>0</v>
      </c>
      <c r="GB20" s="45">
        <v>0</v>
      </c>
      <c r="GC20" s="45">
        <v>1</v>
      </c>
      <c r="GD20" s="45">
        <v>1</v>
      </c>
      <c r="GE20" s="45">
        <v>1</v>
      </c>
      <c r="GF20" s="45">
        <v>0</v>
      </c>
      <c r="GG20" s="45">
        <v>0</v>
      </c>
      <c r="GH20" s="45">
        <v>0</v>
      </c>
      <c r="GI20" s="45">
        <v>1</v>
      </c>
      <c r="GJ20" s="45">
        <v>0</v>
      </c>
      <c r="GK20" s="45">
        <v>0</v>
      </c>
      <c r="GL20" s="45">
        <v>1</v>
      </c>
      <c r="GM20" s="45">
        <v>0</v>
      </c>
      <c r="GN20" s="45">
        <v>0</v>
      </c>
      <c r="GO20" s="45">
        <v>0</v>
      </c>
      <c r="GP20" s="45">
        <v>0</v>
      </c>
      <c r="GQ20" s="45">
        <v>0</v>
      </c>
      <c r="GR20" s="45">
        <v>0</v>
      </c>
      <c r="GS20" s="45">
        <v>0</v>
      </c>
      <c r="GT20" s="45">
        <v>0</v>
      </c>
      <c r="GU20" s="45">
        <v>1</v>
      </c>
      <c r="GV20" s="45">
        <v>0</v>
      </c>
      <c r="GW20" s="45">
        <v>0</v>
      </c>
      <c r="GX20" s="45">
        <v>0</v>
      </c>
      <c r="GY20" s="15">
        <v>0</v>
      </c>
      <c r="GZ20" s="15">
        <v>0</v>
      </c>
      <c r="HA20" s="45">
        <v>0</v>
      </c>
      <c r="HB20" s="45">
        <v>1</v>
      </c>
      <c r="HC20" s="45">
        <v>0</v>
      </c>
      <c r="HD20" s="45">
        <v>0</v>
      </c>
      <c r="HE20" s="15">
        <v>0</v>
      </c>
      <c r="HF20" s="15">
        <v>0</v>
      </c>
      <c r="HG20" s="45">
        <v>0</v>
      </c>
      <c r="HH20" s="45">
        <v>0</v>
      </c>
      <c r="HI20" s="45">
        <v>1</v>
      </c>
      <c r="HJ20" s="45">
        <v>0</v>
      </c>
      <c r="HK20" s="45">
        <v>0</v>
      </c>
      <c r="HL20" s="45">
        <v>0</v>
      </c>
      <c r="HM20" s="45">
        <v>0</v>
      </c>
      <c r="HN20" s="45">
        <v>0</v>
      </c>
      <c r="HO20" s="45">
        <v>1</v>
      </c>
      <c r="HP20" s="45">
        <v>0</v>
      </c>
      <c r="HQ20" s="45">
        <v>0</v>
      </c>
      <c r="HR20" s="45">
        <v>0</v>
      </c>
      <c r="HS20" s="45">
        <v>0</v>
      </c>
      <c r="HT20" s="45">
        <v>0</v>
      </c>
      <c r="HU20" s="45">
        <v>0</v>
      </c>
      <c r="HV20" s="45">
        <v>0</v>
      </c>
      <c r="HW20" s="45">
        <v>1</v>
      </c>
      <c r="HX20" s="45">
        <v>0</v>
      </c>
      <c r="HY20" s="47">
        <v>42458</v>
      </c>
      <c r="HZ20" s="45" t="s">
        <v>230</v>
      </c>
      <c r="IA20" s="45">
        <v>1</v>
      </c>
      <c r="IB20" s="45">
        <v>0</v>
      </c>
      <c r="IC20" s="45">
        <v>1</v>
      </c>
      <c r="ID20" s="45">
        <v>0</v>
      </c>
      <c r="IE20" s="45">
        <v>1</v>
      </c>
      <c r="IF20" s="45">
        <v>0</v>
      </c>
      <c r="IG20" s="45">
        <v>0</v>
      </c>
      <c r="IH20" s="45">
        <v>0</v>
      </c>
      <c r="II20" s="45">
        <v>0</v>
      </c>
      <c r="IJ20" s="45">
        <v>0</v>
      </c>
      <c r="IK20" s="45">
        <v>0</v>
      </c>
      <c r="IL20" s="45">
        <v>0</v>
      </c>
      <c r="IM20" s="45">
        <v>1</v>
      </c>
      <c r="IN20" s="45">
        <v>0</v>
      </c>
      <c r="IO20" s="45">
        <v>0</v>
      </c>
      <c r="IP20" s="45">
        <v>0</v>
      </c>
      <c r="IQ20" s="45">
        <v>1</v>
      </c>
      <c r="IR20" s="45">
        <v>0</v>
      </c>
      <c r="IS20" s="45">
        <v>0</v>
      </c>
      <c r="IT20" s="45">
        <v>1</v>
      </c>
      <c r="IU20" s="45">
        <v>0</v>
      </c>
      <c r="IV20" s="45">
        <v>0</v>
      </c>
      <c r="IW20" s="45">
        <v>0</v>
      </c>
      <c r="IX20" s="45">
        <v>0</v>
      </c>
      <c r="IY20" s="45">
        <v>0</v>
      </c>
      <c r="IZ20" s="45">
        <v>0</v>
      </c>
      <c r="JA20" s="45">
        <v>0</v>
      </c>
      <c r="JB20" s="45">
        <v>0</v>
      </c>
      <c r="JC20" s="45">
        <v>1</v>
      </c>
      <c r="JD20" s="45">
        <v>0</v>
      </c>
      <c r="JE20" s="45">
        <v>0</v>
      </c>
      <c r="JF20" s="45">
        <v>0</v>
      </c>
      <c r="JG20" s="15">
        <v>0</v>
      </c>
      <c r="JH20" s="15">
        <v>0</v>
      </c>
      <c r="JI20" s="45">
        <v>0</v>
      </c>
      <c r="JJ20" s="45">
        <v>1</v>
      </c>
      <c r="JK20" s="45">
        <v>0</v>
      </c>
      <c r="JL20" s="45">
        <v>0</v>
      </c>
      <c r="JM20" s="15">
        <v>0</v>
      </c>
      <c r="JN20" s="15">
        <v>0</v>
      </c>
      <c r="JO20" s="45">
        <v>0</v>
      </c>
      <c r="JP20" s="45">
        <v>0</v>
      </c>
      <c r="JQ20" s="45">
        <v>1</v>
      </c>
      <c r="JR20" s="45">
        <v>0</v>
      </c>
      <c r="JS20" s="45">
        <v>0</v>
      </c>
      <c r="JT20" s="45">
        <v>0</v>
      </c>
      <c r="JU20" s="45">
        <v>0</v>
      </c>
      <c r="JV20" s="45">
        <v>0</v>
      </c>
      <c r="JW20" s="45">
        <v>1</v>
      </c>
      <c r="JX20" s="45">
        <v>0</v>
      </c>
      <c r="JY20" s="45">
        <v>0</v>
      </c>
      <c r="JZ20" s="45">
        <v>0</v>
      </c>
      <c r="KA20" s="45">
        <v>0</v>
      </c>
      <c r="KB20" s="45">
        <v>0</v>
      </c>
      <c r="KC20" s="45">
        <v>0</v>
      </c>
      <c r="KD20" s="45">
        <v>0</v>
      </c>
      <c r="KE20" s="45">
        <v>1</v>
      </c>
      <c r="KF20" s="45">
        <v>0</v>
      </c>
      <c r="KG20"/>
      <c r="KH20"/>
      <c r="KI20">
        <v>1</v>
      </c>
      <c r="KJ20">
        <v>0</v>
      </c>
      <c r="KK20">
        <v>1</v>
      </c>
      <c r="KL20">
        <v>0</v>
      </c>
      <c r="KM20">
        <v>1</v>
      </c>
      <c r="KN20">
        <v>1</v>
      </c>
      <c r="KO20">
        <v>0</v>
      </c>
      <c r="KP20">
        <v>0</v>
      </c>
      <c r="KQ20">
        <v>0</v>
      </c>
      <c r="KR20">
        <v>0</v>
      </c>
      <c r="KS20">
        <v>1</v>
      </c>
      <c r="KT20">
        <v>1</v>
      </c>
      <c r="KU20">
        <v>1</v>
      </c>
      <c r="KV20">
        <v>0</v>
      </c>
      <c r="KW20">
        <v>0</v>
      </c>
      <c r="KX20">
        <v>0</v>
      </c>
      <c r="KY20">
        <v>1</v>
      </c>
      <c r="KZ20">
        <v>0</v>
      </c>
      <c r="LA20">
        <v>0</v>
      </c>
      <c r="LB20">
        <v>1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1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1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1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1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1</v>
      </c>
      <c r="MN20">
        <v>0</v>
      </c>
      <c r="MO20">
        <v>0</v>
      </c>
      <c r="MP20">
        <v>0</v>
      </c>
      <c r="MQ20">
        <f t="shared" si="10"/>
        <v>0</v>
      </c>
      <c r="MR20">
        <f t="shared" si="11"/>
        <v>0</v>
      </c>
    </row>
    <row r="21" spans="1:359" ht="18" x14ac:dyDescent="0.25">
      <c r="A21" t="s">
        <v>413</v>
      </c>
      <c r="B21" s="3">
        <v>73</v>
      </c>
      <c r="C21" s="3">
        <v>1</v>
      </c>
      <c r="D21" s="3">
        <v>1</v>
      </c>
      <c r="E21" s="26">
        <v>44388</v>
      </c>
      <c r="F21" s="61">
        <v>9</v>
      </c>
      <c r="G21" s="61"/>
      <c r="H21" s="58">
        <v>1</v>
      </c>
      <c r="I21" s="57">
        <v>1</v>
      </c>
      <c r="J21" s="58">
        <v>1</v>
      </c>
      <c r="K21" s="2">
        <v>44389</v>
      </c>
      <c r="L21" s="64">
        <v>1</v>
      </c>
      <c r="M21" s="2">
        <v>44473</v>
      </c>
      <c r="N21" s="3">
        <v>0</v>
      </c>
      <c r="O21" s="2">
        <v>44951</v>
      </c>
      <c r="P21" s="64">
        <f t="shared" si="0"/>
        <v>572</v>
      </c>
      <c r="Q21">
        <v>1</v>
      </c>
      <c r="R21">
        <v>1</v>
      </c>
      <c r="S21">
        <v>0</v>
      </c>
      <c r="T21">
        <v>77</v>
      </c>
      <c r="U21">
        <v>0</v>
      </c>
      <c r="V21">
        <v>1</v>
      </c>
      <c r="W21">
        <v>0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80</v>
      </c>
      <c r="AO21">
        <v>161</v>
      </c>
      <c r="AP21">
        <v>30.9</v>
      </c>
      <c r="AQ21">
        <v>36.700000000000003</v>
      </c>
      <c r="AR21">
        <v>121</v>
      </c>
      <c r="AS21">
        <v>93</v>
      </c>
      <c r="AT21">
        <v>3</v>
      </c>
      <c r="AU21">
        <v>1</v>
      </c>
      <c r="AV21">
        <v>43</v>
      </c>
      <c r="AW21" s="1">
        <v>44378</v>
      </c>
      <c r="AX21" s="1">
        <v>44379</v>
      </c>
      <c r="AY21">
        <v>0</v>
      </c>
      <c r="AZ21" s="1">
        <v>44378</v>
      </c>
      <c r="BA21">
        <v>1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 s="39">
        <v>3</v>
      </c>
      <c r="BK21">
        <v>0</v>
      </c>
      <c r="BL21">
        <v>0</v>
      </c>
      <c r="BM21" s="66">
        <v>0</v>
      </c>
      <c r="BN21">
        <v>0</v>
      </c>
      <c r="BO21">
        <v>0</v>
      </c>
      <c r="BP21" s="66">
        <f t="shared" si="12"/>
        <v>3</v>
      </c>
      <c r="BQ21">
        <v>1</v>
      </c>
      <c r="BR21" s="39">
        <v>3</v>
      </c>
      <c r="BS21">
        <v>3</v>
      </c>
      <c r="BT21">
        <v>0</v>
      </c>
      <c r="BU21" s="66">
        <f t="shared" si="13"/>
        <v>0</v>
      </c>
      <c r="BV21">
        <v>0</v>
      </c>
      <c r="BW21">
        <v>0</v>
      </c>
      <c r="BX21" s="66">
        <f t="shared" si="3"/>
        <v>6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0</v>
      </c>
      <c r="CG21">
        <v>0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1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DA21" s="1">
        <v>44379</v>
      </c>
      <c r="DB21" s="66">
        <f t="shared" si="5"/>
        <v>1</v>
      </c>
      <c r="DC21" t="s">
        <v>3</v>
      </c>
      <c r="DD21">
        <v>1</v>
      </c>
      <c r="DE21" s="1">
        <v>44387</v>
      </c>
      <c r="DF21">
        <v>9</v>
      </c>
      <c r="DH21">
        <v>14.8</v>
      </c>
      <c r="DI21">
        <v>19</v>
      </c>
      <c r="DJ21">
        <v>2.2000000000000002</v>
      </c>
      <c r="DK21" s="66">
        <v>389</v>
      </c>
      <c r="DL21">
        <v>5.19</v>
      </c>
      <c r="DM21">
        <v>65</v>
      </c>
      <c r="DN21">
        <v>10649</v>
      </c>
      <c r="DQ21">
        <v>10649</v>
      </c>
      <c r="DR21">
        <v>109</v>
      </c>
      <c r="DS21">
        <v>11.6</v>
      </c>
      <c r="DT21">
        <v>372</v>
      </c>
      <c r="DV21">
        <v>53</v>
      </c>
      <c r="DW21" s="1">
        <v>44378</v>
      </c>
      <c r="DX21">
        <v>22</v>
      </c>
      <c r="DY21">
        <v>21</v>
      </c>
      <c r="DZ21">
        <v>1</v>
      </c>
      <c r="EA21">
        <v>47</v>
      </c>
      <c r="EB21">
        <v>1</v>
      </c>
      <c r="EC21">
        <v>3.8</v>
      </c>
      <c r="ED21">
        <v>1.7</v>
      </c>
      <c r="EE21">
        <v>1</v>
      </c>
      <c r="EF21">
        <v>3.8</v>
      </c>
      <c r="EG21">
        <v>1</v>
      </c>
      <c r="EH21">
        <v>159</v>
      </c>
      <c r="EI21" s="62">
        <v>1.6666666666666701</v>
      </c>
      <c r="EJ21">
        <v>265</v>
      </c>
      <c r="EK21" s="39">
        <v>1</v>
      </c>
      <c r="EL21">
        <f t="shared" si="6"/>
        <v>106</v>
      </c>
      <c r="EM21">
        <v>327</v>
      </c>
      <c r="EN21" s="39">
        <v>1</v>
      </c>
      <c r="EO21">
        <v>1.55</v>
      </c>
      <c r="EP21">
        <v>0.86</v>
      </c>
      <c r="ER21">
        <v>15</v>
      </c>
      <c r="ES21">
        <v>66</v>
      </c>
      <c r="ET21">
        <v>19</v>
      </c>
      <c r="EU21">
        <v>9</v>
      </c>
      <c r="EV21">
        <v>17</v>
      </c>
      <c r="EW21">
        <v>55</v>
      </c>
      <c r="EX21">
        <v>6</v>
      </c>
      <c r="EY21">
        <v>4</v>
      </c>
      <c r="FA21">
        <v>7.27</v>
      </c>
      <c r="FB21">
        <v>1</v>
      </c>
      <c r="FC21">
        <v>1</v>
      </c>
      <c r="FD21">
        <v>1</v>
      </c>
      <c r="FF21">
        <v>1</v>
      </c>
      <c r="FG21">
        <v>1</v>
      </c>
      <c r="FH21" s="1">
        <v>44388</v>
      </c>
      <c r="FI21">
        <v>1</v>
      </c>
      <c r="FJ21" s="1" t="e">
        <f>#REF!</f>
        <v>#REF!</v>
      </c>
      <c r="FK21">
        <v>0</v>
      </c>
      <c r="FL21">
        <v>1</v>
      </c>
      <c r="FM21">
        <v>170</v>
      </c>
      <c r="FN21">
        <v>100</v>
      </c>
      <c r="FO21">
        <v>0</v>
      </c>
      <c r="FQ21" s="22">
        <v>44379</v>
      </c>
      <c r="FR21" s="22" t="s">
        <v>230</v>
      </c>
      <c r="FS21" s="15">
        <v>1</v>
      </c>
      <c r="FT21" s="15">
        <v>0</v>
      </c>
      <c r="FU21" s="15">
        <v>1</v>
      </c>
      <c r="FV21" s="15">
        <v>1</v>
      </c>
      <c r="FW21" s="15">
        <v>1</v>
      </c>
      <c r="FX21" s="15">
        <v>1</v>
      </c>
      <c r="FY21" s="15">
        <v>1</v>
      </c>
      <c r="FZ21" s="15">
        <v>0</v>
      </c>
      <c r="GA21" s="15">
        <v>0</v>
      </c>
      <c r="GB21" s="15">
        <v>1</v>
      </c>
      <c r="GC21" s="15">
        <v>1</v>
      </c>
      <c r="GD21" s="15">
        <v>1</v>
      </c>
      <c r="GE21" s="15">
        <v>1</v>
      </c>
      <c r="GF21" s="15">
        <v>0</v>
      </c>
      <c r="GG21" s="15">
        <v>0</v>
      </c>
      <c r="GH21" s="15">
        <v>0</v>
      </c>
      <c r="GI21" s="15">
        <v>0</v>
      </c>
      <c r="GJ21" s="15">
        <v>1</v>
      </c>
      <c r="GK21" s="15">
        <v>0</v>
      </c>
      <c r="GL21" s="15">
        <v>0</v>
      </c>
      <c r="GM21" s="15">
        <v>1</v>
      </c>
      <c r="GN21" s="15">
        <v>0</v>
      </c>
      <c r="GO21" s="15">
        <v>1</v>
      </c>
      <c r="GP21" s="15">
        <v>0</v>
      </c>
      <c r="GQ21" s="15">
        <v>1</v>
      </c>
      <c r="GR21" s="15">
        <v>0</v>
      </c>
      <c r="GS21" s="15">
        <v>1</v>
      </c>
      <c r="GT21" s="15">
        <v>0</v>
      </c>
      <c r="GU21" s="15">
        <v>1</v>
      </c>
      <c r="GV21" s="15">
        <v>1</v>
      </c>
      <c r="GW21" s="15">
        <v>0</v>
      </c>
      <c r="GX21" s="15" t="s">
        <v>232</v>
      </c>
      <c r="GY21" s="15">
        <v>0</v>
      </c>
      <c r="GZ21" s="15">
        <v>0</v>
      </c>
      <c r="HA21" s="15">
        <v>0</v>
      </c>
      <c r="HB21" s="15">
        <v>1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1</v>
      </c>
      <c r="HI21" s="15">
        <v>1</v>
      </c>
      <c r="HJ21" s="15">
        <v>1</v>
      </c>
      <c r="HK21" s="15">
        <v>0</v>
      </c>
      <c r="HL21" s="15">
        <v>1</v>
      </c>
      <c r="HM21" s="15">
        <v>0</v>
      </c>
      <c r="HN21" s="15">
        <v>1</v>
      </c>
      <c r="HO21" s="15">
        <v>1</v>
      </c>
      <c r="HP21" s="15">
        <v>0</v>
      </c>
      <c r="HQ21" s="15">
        <v>0</v>
      </c>
      <c r="HR21" s="15">
        <v>0</v>
      </c>
      <c r="HS21" s="15">
        <v>0</v>
      </c>
      <c r="HT21" s="15">
        <v>1</v>
      </c>
      <c r="HU21" s="15">
        <v>1</v>
      </c>
      <c r="HV21" s="15">
        <v>0</v>
      </c>
      <c r="HW21" s="15">
        <v>0</v>
      </c>
      <c r="HX21" s="15">
        <v>1</v>
      </c>
      <c r="HY21" s="22">
        <v>44388</v>
      </c>
      <c r="HZ21" s="15" t="s">
        <v>231</v>
      </c>
      <c r="IA21" s="15">
        <v>1</v>
      </c>
      <c r="IB21" s="15">
        <v>0</v>
      </c>
      <c r="IC21" s="15">
        <v>1</v>
      </c>
      <c r="ID21" s="15">
        <v>1</v>
      </c>
      <c r="IE21" s="15">
        <v>1</v>
      </c>
      <c r="IF21" s="15">
        <v>1</v>
      </c>
      <c r="IG21" s="15">
        <v>1</v>
      </c>
      <c r="IH21" s="15">
        <v>0</v>
      </c>
      <c r="II21" s="15">
        <v>0</v>
      </c>
      <c r="IJ21" s="15">
        <v>1</v>
      </c>
      <c r="IK21" s="15">
        <v>1</v>
      </c>
      <c r="IL21" s="15">
        <v>1</v>
      </c>
      <c r="IM21" s="15">
        <v>1</v>
      </c>
      <c r="IN21" s="15">
        <v>0</v>
      </c>
      <c r="IO21" s="15">
        <v>0</v>
      </c>
      <c r="IP21" s="15">
        <v>0</v>
      </c>
      <c r="IQ21" s="15">
        <v>0</v>
      </c>
      <c r="IR21" s="15">
        <v>1</v>
      </c>
      <c r="IS21" s="15">
        <v>0</v>
      </c>
      <c r="IT21" s="15">
        <v>0</v>
      </c>
      <c r="IU21" s="15">
        <v>1</v>
      </c>
      <c r="IV21" s="15">
        <v>0</v>
      </c>
      <c r="IW21" s="15">
        <v>1</v>
      </c>
      <c r="IX21" s="15">
        <v>0</v>
      </c>
      <c r="IY21" s="15">
        <v>1</v>
      </c>
      <c r="IZ21" s="15">
        <v>0</v>
      </c>
      <c r="JA21" s="15">
        <v>1</v>
      </c>
      <c r="JB21" s="15">
        <v>0</v>
      </c>
      <c r="JC21" s="15">
        <v>1</v>
      </c>
      <c r="JD21" s="15">
        <v>1</v>
      </c>
      <c r="JE21" s="15">
        <v>0</v>
      </c>
      <c r="JF21" s="15" t="s">
        <v>232</v>
      </c>
      <c r="JG21" s="15">
        <v>0</v>
      </c>
      <c r="JH21" s="15">
        <v>0</v>
      </c>
      <c r="JI21" s="15">
        <v>0</v>
      </c>
      <c r="JJ21" s="15">
        <v>1</v>
      </c>
      <c r="JK21" s="15">
        <v>0</v>
      </c>
      <c r="JL21" s="15">
        <v>0</v>
      </c>
      <c r="JM21" s="15">
        <v>0</v>
      </c>
      <c r="JN21" s="15">
        <v>0</v>
      </c>
      <c r="JO21" s="15">
        <v>0</v>
      </c>
      <c r="JP21" s="15">
        <v>1</v>
      </c>
      <c r="JQ21" s="15">
        <v>0</v>
      </c>
      <c r="JR21" s="15">
        <v>1</v>
      </c>
      <c r="JS21" s="15">
        <v>1</v>
      </c>
      <c r="JT21" s="15">
        <v>0</v>
      </c>
      <c r="JU21" s="15">
        <v>0</v>
      </c>
      <c r="JV21" s="15">
        <v>0</v>
      </c>
      <c r="JW21" s="15">
        <v>1</v>
      </c>
      <c r="JX21" s="15">
        <v>1</v>
      </c>
      <c r="JY21" s="15">
        <v>0</v>
      </c>
      <c r="JZ21" s="15">
        <v>0</v>
      </c>
      <c r="KA21" s="15">
        <v>0</v>
      </c>
      <c r="KB21" s="15">
        <v>1</v>
      </c>
      <c r="KC21" s="15">
        <v>1</v>
      </c>
      <c r="KD21" s="15">
        <v>0</v>
      </c>
      <c r="KE21" s="15">
        <v>0</v>
      </c>
      <c r="KF21" s="15">
        <v>1</v>
      </c>
      <c r="KI21">
        <v>1</v>
      </c>
      <c r="KJ21">
        <v>0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0</v>
      </c>
      <c r="KQ21">
        <v>0</v>
      </c>
      <c r="KR21">
        <v>1</v>
      </c>
      <c r="KS21">
        <v>1</v>
      </c>
      <c r="KT21">
        <v>1</v>
      </c>
      <c r="KU21">
        <v>1</v>
      </c>
      <c r="KV21">
        <v>0</v>
      </c>
      <c r="KW21">
        <v>0</v>
      </c>
      <c r="KX21">
        <v>0</v>
      </c>
      <c r="KY21">
        <v>0</v>
      </c>
      <c r="KZ21">
        <v>1</v>
      </c>
      <c r="LA21">
        <v>0</v>
      </c>
      <c r="LB21">
        <v>0</v>
      </c>
      <c r="LC21">
        <v>1</v>
      </c>
      <c r="LD21">
        <v>0</v>
      </c>
      <c r="LE21">
        <v>1</v>
      </c>
      <c r="LF21">
        <v>0</v>
      </c>
      <c r="LG21">
        <v>1</v>
      </c>
      <c r="LH21">
        <v>0</v>
      </c>
      <c r="LI21">
        <v>1</v>
      </c>
      <c r="LJ21">
        <v>0</v>
      </c>
      <c r="LK21">
        <v>1</v>
      </c>
      <c r="LL21">
        <v>1</v>
      </c>
      <c r="LM21">
        <v>0</v>
      </c>
      <c r="LO21">
        <v>0</v>
      </c>
      <c r="LP21">
        <v>0</v>
      </c>
      <c r="LQ21">
        <v>0</v>
      </c>
      <c r="LR21">
        <v>1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0</v>
      </c>
      <c r="MD21">
        <v>1</v>
      </c>
      <c r="ME21">
        <v>1</v>
      </c>
      <c r="MF21">
        <v>1</v>
      </c>
      <c r="MG21">
        <v>0</v>
      </c>
      <c r="MH21">
        <v>0</v>
      </c>
      <c r="MI21">
        <v>0</v>
      </c>
      <c r="MJ21">
        <v>1</v>
      </c>
      <c r="MK21">
        <v>1</v>
      </c>
      <c r="ML21">
        <v>0</v>
      </c>
      <c r="MM21">
        <v>0</v>
      </c>
      <c r="MN21">
        <v>1</v>
      </c>
      <c r="MO21">
        <v>1</v>
      </c>
      <c r="MP21">
        <v>0</v>
      </c>
      <c r="MQ21">
        <v>1</v>
      </c>
      <c r="MR21">
        <v>1</v>
      </c>
      <c r="MS21">
        <v>1</v>
      </c>
      <c r="MT21">
        <v>1</v>
      </c>
    </row>
    <row r="22" spans="1:359" ht="18" x14ac:dyDescent="0.25">
      <c r="A22" t="s">
        <v>414</v>
      </c>
      <c r="B22" s="3">
        <v>66</v>
      </c>
      <c r="C22" s="3">
        <v>0</v>
      </c>
      <c r="D22" s="3">
        <v>0</v>
      </c>
      <c r="E22" s="3"/>
      <c r="F22" s="55">
        <v>186</v>
      </c>
      <c r="G22" s="55"/>
      <c r="H22" s="57">
        <v>0</v>
      </c>
      <c r="I22" s="57">
        <v>0</v>
      </c>
      <c r="J22" s="57"/>
      <c r="K22" s="3"/>
      <c r="L22" s="3"/>
      <c r="M22" s="3"/>
      <c r="N22" s="3">
        <v>0</v>
      </c>
      <c r="O22" s="2">
        <v>45019</v>
      </c>
      <c r="P22" s="64">
        <f t="shared" si="0"/>
        <v>186</v>
      </c>
      <c r="Q22">
        <v>1</v>
      </c>
      <c r="R22">
        <v>0</v>
      </c>
      <c r="S22">
        <v>0</v>
      </c>
      <c r="T22">
        <v>93</v>
      </c>
      <c r="U22">
        <v>1</v>
      </c>
      <c r="V22">
        <v>1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76</v>
      </c>
      <c r="AO22">
        <v>171</v>
      </c>
      <c r="AP22">
        <v>26</v>
      </c>
      <c r="AQ22">
        <v>36.700000000000003</v>
      </c>
      <c r="AR22">
        <v>127</v>
      </c>
      <c r="AS22">
        <v>89</v>
      </c>
      <c r="AT22">
        <v>2</v>
      </c>
      <c r="AU22">
        <v>0</v>
      </c>
      <c r="AW22" s="1">
        <v>44833</v>
      </c>
      <c r="AX22" s="1">
        <v>44833</v>
      </c>
      <c r="AY22">
        <v>0</v>
      </c>
      <c r="AZ22" s="1">
        <v>44832</v>
      </c>
      <c r="BA22">
        <v>1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 s="66">
        <v>0</v>
      </c>
      <c r="BN22">
        <v>0</v>
      </c>
      <c r="BO22">
        <v>0</v>
      </c>
      <c r="BP22" s="66">
        <f t="shared" si="12"/>
        <v>0</v>
      </c>
      <c r="BQ22">
        <v>0</v>
      </c>
      <c r="BR22">
        <v>0</v>
      </c>
      <c r="BS22">
        <v>0</v>
      </c>
      <c r="BT22">
        <v>0</v>
      </c>
      <c r="BU22" s="66">
        <f t="shared" si="13"/>
        <v>0</v>
      </c>
      <c r="BV22">
        <v>0</v>
      </c>
      <c r="BW22">
        <v>0</v>
      </c>
      <c r="BX22" s="66">
        <f t="shared" si="3"/>
        <v>0</v>
      </c>
      <c r="BY22">
        <v>0</v>
      </c>
      <c r="BZ22">
        <f t="shared" si="4"/>
        <v>0</v>
      </c>
      <c r="CA22">
        <v>0</v>
      </c>
      <c r="CB22">
        <v>0</v>
      </c>
      <c r="CC22">
        <v>2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1</v>
      </c>
      <c r="CM22">
        <v>0</v>
      </c>
      <c r="CN22">
        <v>0</v>
      </c>
      <c r="CO22">
        <v>1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1</v>
      </c>
      <c r="DA22" s="1">
        <v>44836</v>
      </c>
      <c r="DB22" s="66">
        <f t="shared" si="5"/>
        <v>4</v>
      </c>
      <c r="DC22" t="s">
        <v>1</v>
      </c>
      <c r="DD22">
        <v>0</v>
      </c>
      <c r="DE22" s="1">
        <v>44838</v>
      </c>
      <c r="DF22">
        <v>3</v>
      </c>
      <c r="DG22" s="1">
        <v>44837</v>
      </c>
      <c r="DH22">
        <v>13</v>
      </c>
      <c r="DI22">
        <v>4</v>
      </c>
      <c r="DJ22">
        <v>1</v>
      </c>
      <c r="DK22" s="66">
        <v>268</v>
      </c>
      <c r="DL22">
        <v>5</v>
      </c>
      <c r="DM22">
        <v>57</v>
      </c>
      <c r="DO22">
        <v>8</v>
      </c>
      <c r="DP22">
        <v>268</v>
      </c>
      <c r="DR22">
        <v>56</v>
      </c>
      <c r="DS22">
        <v>5.0999999999999996</v>
      </c>
      <c r="DU22">
        <v>73</v>
      </c>
      <c r="DW22" s="1">
        <v>44833</v>
      </c>
      <c r="DX22">
        <v>5</v>
      </c>
      <c r="DY22">
        <v>5</v>
      </c>
      <c r="DZ22">
        <v>0</v>
      </c>
      <c r="EA22">
        <v>5</v>
      </c>
      <c r="EB22">
        <v>0</v>
      </c>
      <c r="EC22">
        <v>0.97</v>
      </c>
      <c r="ED22">
        <f>EF22</f>
        <v>0.97</v>
      </c>
      <c r="EE22">
        <v>0</v>
      </c>
      <c r="EF22">
        <v>0.97</v>
      </c>
      <c r="EG22">
        <v>0</v>
      </c>
      <c r="EH22">
        <v>19</v>
      </c>
      <c r="EI22" s="62">
        <v>0.21052631578947401</v>
      </c>
      <c r="EJ22">
        <v>4</v>
      </c>
      <c r="EK22">
        <v>0</v>
      </c>
      <c r="EL22">
        <f t="shared" si="6"/>
        <v>-15</v>
      </c>
      <c r="EM22">
        <v>19</v>
      </c>
      <c r="EN22">
        <v>0</v>
      </c>
      <c r="ER22">
        <v>23</v>
      </c>
      <c r="ES22">
        <v>64</v>
      </c>
      <c r="ET22">
        <v>72</v>
      </c>
      <c r="EU22">
        <v>45</v>
      </c>
      <c r="EV22">
        <v>55</v>
      </c>
      <c r="EW22">
        <v>49</v>
      </c>
      <c r="EX22">
        <v>6</v>
      </c>
      <c r="EY22">
        <v>3</v>
      </c>
      <c r="FA22">
        <v>7.37</v>
      </c>
      <c r="FC22">
        <v>1</v>
      </c>
      <c r="FD22">
        <v>0</v>
      </c>
      <c r="FF22">
        <v>1</v>
      </c>
      <c r="FG22">
        <v>0</v>
      </c>
      <c r="FI22"/>
      <c r="FK22">
        <v>0</v>
      </c>
      <c r="FL22">
        <v>0</v>
      </c>
      <c r="FO22">
        <v>0</v>
      </c>
      <c r="FQ22" s="22">
        <v>44833</v>
      </c>
      <c r="FR22" s="22" t="s">
        <v>230</v>
      </c>
      <c r="FS22" s="15">
        <v>1</v>
      </c>
      <c r="FT22" s="15">
        <v>0</v>
      </c>
      <c r="FU22" s="15">
        <v>1</v>
      </c>
      <c r="FV22" s="15">
        <v>0</v>
      </c>
      <c r="FW22" s="15">
        <v>1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1</v>
      </c>
      <c r="GE22" s="15">
        <v>1</v>
      </c>
      <c r="GF22" s="15">
        <v>0</v>
      </c>
      <c r="GG22" s="15">
        <v>0</v>
      </c>
      <c r="GH22" s="15">
        <v>0</v>
      </c>
      <c r="GI22" s="15">
        <v>1</v>
      </c>
      <c r="GJ22" s="15">
        <v>0</v>
      </c>
      <c r="GK22" s="15">
        <v>0</v>
      </c>
      <c r="GL22" s="15">
        <v>0</v>
      </c>
      <c r="GM22" s="15">
        <v>0</v>
      </c>
      <c r="GN22" s="15">
        <v>1</v>
      </c>
      <c r="GO22" s="15">
        <v>1</v>
      </c>
      <c r="GP22" s="15">
        <v>1</v>
      </c>
      <c r="GQ22" s="15">
        <v>0</v>
      </c>
      <c r="GR22" s="15">
        <v>1</v>
      </c>
      <c r="GS22" s="15">
        <v>1</v>
      </c>
      <c r="GT22" s="15">
        <v>1</v>
      </c>
      <c r="GU22" s="15">
        <v>1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1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1</v>
      </c>
      <c r="HI22" s="15">
        <v>1</v>
      </c>
      <c r="HJ22" s="15">
        <v>1</v>
      </c>
      <c r="HK22" s="15">
        <v>0</v>
      </c>
      <c r="HL22" s="15">
        <v>1</v>
      </c>
      <c r="HM22" s="15">
        <v>0</v>
      </c>
      <c r="HN22" s="15">
        <v>0</v>
      </c>
      <c r="HO22" s="15">
        <v>1</v>
      </c>
      <c r="HP22" s="15">
        <v>0</v>
      </c>
      <c r="HQ22" s="15">
        <v>0</v>
      </c>
      <c r="HR22" s="15">
        <v>0</v>
      </c>
      <c r="HS22" s="15">
        <v>0</v>
      </c>
      <c r="HT22" s="15">
        <v>1</v>
      </c>
      <c r="HU22" s="15">
        <v>1</v>
      </c>
      <c r="HV22" s="15">
        <v>0</v>
      </c>
      <c r="HW22" s="15">
        <v>0</v>
      </c>
      <c r="HX22" s="15">
        <v>1</v>
      </c>
      <c r="HY22" s="22">
        <v>44837</v>
      </c>
      <c r="HZ22" s="15" t="s">
        <v>231</v>
      </c>
      <c r="IA22" s="15">
        <v>1</v>
      </c>
      <c r="IB22" s="15">
        <v>0</v>
      </c>
      <c r="IC22" s="15">
        <v>1</v>
      </c>
      <c r="ID22" s="15">
        <v>0</v>
      </c>
      <c r="IE22" s="15">
        <v>1</v>
      </c>
      <c r="IF22" s="15">
        <v>0</v>
      </c>
      <c r="IG22" s="15">
        <v>0</v>
      </c>
      <c r="IH22" s="15">
        <v>0</v>
      </c>
      <c r="II22" s="15">
        <v>0</v>
      </c>
      <c r="IJ22" s="15">
        <v>0</v>
      </c>
      <c r="IK22" s="15">
        <v>0</v>
      </c>
      <c r="IL22" s="15">
        <v>1</v>
      </c>
      <c r="IM22" s="15">
        <v>1</v>
      </c>
      <c r="IN22" s="15">
        <v>0</v>
      </c>
      <c r="IO22" s="15">
        <v>0</v>
      </c>
      <c r="IP22" s="15">
        <v>0</v>
      </c>
      <c r="IQ22" s="15">
        <v>1</v>
      </c>
      <c r="IR22" s="15">
        <v>0</v>
      </c>
      <c r="IS22" s="15">
        <v>0</v>
      </c>
      <c r="IT22" s="15">
        <v>0</v>
      </c>
      <c r="IU22" s="15">
        <v>0</v>
      </c>
      <c r="IV22" s="15">
        <v>1</v>
      </c>
      <c r="IW22" s="15">
        <v>1</v>
      </c>
      <c r="IX22" s="15">
        <v>1</v>
      </c>
      <c r="IY22" s="15">
        <v>0</v>
      </c>
      <c r="IZ22" s="15">
        <v>1</v>
      </c>
      <c r="JA22" s="15">
        <v>1</v>
      </c>
      <c r="JB22" s="15">
        <v>1</v>
      </c>
      <c r="JC22" s="15">
        <v>1</v>
      </c>
      <c r="JD22" s="15">
        <v>0</v>
      </c>
      <c r="JE22" s="15">
        <v>0</v>
      </c>
      <c r="JF22" s="15">
        <v>0</v>
      </c>
      <c r="JG22" s="15">
        <v>0</v>
      </c>
      <c r="JH22" s="15">
        <v>0</v>
      </c>
      <c r="JI22" s="15">
        <v>0</v>
      </c>
      <c r="JJ22" s="15">
        <v>1</v>
      </c>
      <c r="JK22" s="15">
        <v>0</v>
      </c>
      <c r="JL22" s="15">
        <v>0</v>
      </c>
      <c r="JM22" s="15">
        <v>0</v>
      </c>
      <c r="JN22" s="15">
        <v>0</v>
      </c>
      <c r="JO22" s="15">
        <v>0</v>
      </c>
      <c r="JP22" s="15">
        <v>0</v>
      </c>
      <c r="JQ22" s="15">
        <v>0</v>
      </c>
      <c r="JR22" s="15">
        <v>0</v>
      </c>
      <c r="JS22" s="15">
        <v>0</v>
      </c>
      <c r="JT22" s="15">
        <v>0</v>
      </c>
      <c r="JU22" s="15">
        <v>0</v>
      </c>
      <c r="JV22" s="15">
        <v>0</v>
      </c>
      <c r="JW22" s="15">
        <v>1</v>
      </c>
      <c r="JX22" s="15">
        <v>0</v>
      </c>
      <c r="JY22" s="15">
        <v>0</v>
      </c>
      <c r="JZ22" s="15">
        <v>0</v>
      </c>
      <c r="KA22" s="15">
        <v>0</v>
      </c>
      <c r="KB22" s="15">
        <v>0</v>
      </c>
      <c r="KC22" s="15">
        <v>1</v>
      </c>
      <c r="KD22" s="15">
        <v>0</v>
      </c>
      <c r="KE22" s="15">
        <v>0</v>
      </c>
      <c r="KF22" s="15">
        <v>1</v>
      </c>
      <c r="KI22">
        <v>1</v>
      </c>
      <c r="KJ22">
        <v>0</v>
      </c>
      <c r="KK22">
        <v>1</v>
      </c>
      <c r="KL22">
        <v>0</v>
      </c>
      <c r="KM22">
        <v>1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1</v>
      </c>
      <c r="KU22">
        <v>1</v>
      </c>
      <c r="KV22">
        <v>0</v>
      </c>
      <c r="KW22">
        <v>0</v>
      </c>
      <c r="KX22">
        <v>0</v>
      </c>
      <c r="KY22">
        <v>1</v>
      </c>
      <c r="KZ22">
        <v>0</v>
      </c>
      <c r="LA22">
        <v>0</v>
      </c>
      <c r="LB22">
        <v>0</v>
      </c>
      <c r="LC22">
        <v>0</v>
      </c>
      <c r="LD22">
        <v>1</v>
      </c>
      <c r="LE22">
        <v>1</v>
      </c>
      <c r="LF22">
        <v>1</v>
      </c>
      <c r="LG22">
        <v>0</v>
      </c>
      <c r="LH22">
        <v>1</v>
      </c>
      <c r="LI22">
        <v>1</v>
      </c>
      <c r="LJ22">
        <v>1</v>
      </c>
      <c r="LK22">
        <v>1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1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1</v>
      </c>
      <c r="LY22">
        <v>1</v>
      </c>
      <c r="LZ22">
        <v>1</v>
      </c>
      <c r="MA22">
        <v>0</v>
      </c>
      <c r="MB22">
        <v>1</v>
      </c>
      <c r="MC22">
        <v>0</v>
      </c>
      <c r="MD22">
        <v>0</v>
      </c>
      <c r="ME22">
        <v>1</v>
      </c>
      <c r="MF22">
        <v>0</v>
      </c>
      <c r="MG22">
        <v>0</v>
      </c>
      <c r="MH22">
        <v>0</v>
      </c>
      <c r="MI22">
        <v>0</v>
      </c>
      <c r="MJ22">
        <v>1</v>
      </c>
      <c r="MK22">
        <v>1</v>
      </c>
      <c r="ML22">
        <v>0</v>
      </c>
      <c r="MM22">
        <v>0</v>
      </c>
      <c r="MN22">
        <v>1</v>
      </c>
      <c r="MO22">
        <v>1</v>
      </c>
      <c r="MP22">
        <v>0</v>
      </c>
      <c r="MQ22">
        <v>1</v>
      </c>
      <c r="MR22">
        <v>1</v>
      </c>
      <c r="MS22">
        <v>0</v>
      </c>
      <c r="MT22">
        <v>0</v>
      </c>
    </row>
    <row r="23" spans="1:359" s="39" customFormat="1" ht="18" x14ac:dyDescent="0.25">
      <c r="A23" t="s">
        <v>415</v>
      </c>
      <c r="B23" s="40">
        <v>63</v>
      </c>
      <c r="C23" s="40">
        <v>1</v>
      </c>
      <c r="D23" s="40">
        <v>0</v>
      </c>
      <c r="E23" s="40"/>
      <c r="F23" s="55">
        <v>1172</v>
      </c>
      <c r="G23" s="55"/>
      <c r="H23" s="57">
        <v>0</v>
      </c>
      <c r="I23" s="57">
        <v>0</v>
      </c>
      <c r="J23" s="57"/>
      <c r="K23" s="40"/>
      <c r="L23" s="40"/>
      <c r="M23" s="40"/>
      <c r="N23" s="40">
        <v>0</v>
      </c>
      <c r="O23" s="42">
        <v>44890</v>
      </c>
      <c r="P23" s="64">
        <f t="shared" si="0"/>
        <v>1172</v>
      </c>
      <c r="Q23" s="39">
        <v>1</v>
      </c>
      <c r="R23" s="39">
        <v>1</v>
      </c>
      <c r="S23" s="39">
        <v>1</v>
      </c>
      <c r="T23" s="39">
        <v>92</v>
      </c>
      <c r="U23" s="39">
        <v>0</v>
      </c>
      <c r="V23" s="39">
        <v>0</v>
      </c>
      <c r="W23" s="39">
        <v>0</v>
      </c>
      <c r="X23" s="39">
        <v>0</v>
      </c>
      <c r="Y23" s="39">
        <v>0</v>
      </c>
      <c r="Z23" s="39">
        <v>0</v>
      </c>
      <c r="AA23" s="39">
        <v>0</v>
      </c>
      <c r="AB23" s="39">
        <v>0</v>
      </c>
      <c r="AC23" s="39">
        <v>0</v>
      </c>
      <c r="AD23" s="39">
        <v>0</v>
      </c>
      <c r="AE23" s="39">
        <v>0</v>
      </c>
      <c r="AF23" s="39">
        <v>0</v>
      </c>
      <c r="AG23" s="39">
        <v>0</v>
      </c>
      <c r="AH23" s="39">
        <v>0</v>
      </c>
      <c r="AI23" s="39">
        <v>0</v>
      </c>
      <c r="AJ23" s="39">
        <v>0</v>
      </c>
      <c r="AK23" s="39">
        <v>1</v>
      </c>
      <c r="AL23" s="39">
        <v>0</v>
      </c>
      <c r="AM23" s="39">
        <v>0</v>
      </c>
      <c r="AN23" s="39">
        <v>98</v>
      </c>
      <c r="AO23" s="39">
        <v>163</v>
      </c>
      <c r="AP23" s="39">
        <v>36.799999999999997</v>
      </c>
      <c r="AQ23" s="39">
        <v>37</v>
      </c>
      <c r="AR23" s="39">
        <v>147</v>
      </c>
      <c r="AS23" s="39">
        <v>80</v>
      </c>
      <c r="AT23" s="39">
        <v>3</v>
      </c>
      <c r="AU23">
        <v>1</v>
      </c>
      <c r="AV23" s="39">
        <v>85</v>
      </c>
      <c r="AW23" s="43">
        <v>43718</v>
      </c>
      <c r="AX23" s="43">
        <v>43718</v>
      </c>
      <c r="AY23" s="39">
        <v>0</v>
      </c>
      <c r="AZ23" s="43">
        <v>43711</v>
      </c>
      <c r="BA23" s="39">
        <v>1</v>
      </c>
      <c r="BB23" s="39">
        <v>1</v>
      </c>
      <c r="BC23" s="39">
        <v>0</v>
      </c>
      <c r="BD23" s="39">
        <v>1</v>
      </c>
      <c r="BE23" s="39">
        <v>0</v>
      </c>
      <c r="BF23" s="39">
        <v>1</v>
      </c>
      <c r="BG23" s="39">
        <v>0</v>
      </c>
      <c r="BH23" s="39">
        <v>0</v>
      </c>
      <c r="BI23" s="39">
        <v>0</v>
      </c>
      <c r="BJ23">
        <v>0</v>
      </c>
      <c r="BK23">
        <v>0</v>
      </c>
      <c r="BL23">
        <v>0</v>
      </c>
      <c r="BM23" s="66">
        <v>0</v>
      </c>
      <c r="BN23">
        <v>0</v>
      </c>
      <c r="BO23">
        <v>0</v>
      </c>
      <c r="BP23" s="66">
        <f t="shared" si="12"/>
        <v>0</v>
      </c>
      <c r="BQ23">
        <v>0</v>
      </c>
      <c r="BR23">
        <v>0</v>
      </c>
      <c r="BS23">
        <v>3</v>
      </c>
      <c r="BT23">
        <v>0</v>
      </c>
      <c r="BU23" s="66">
        <f t="shared" si="13"/>
        <v>0</v>
      </c>
      <c r="BV23">
        <v>0</v>
      </c>
      <c r="BW23">
        <v>0</v>
      </c>
      <c r="BX23" s="66">
        <f t="shared" si="3"/>
        <v>3</v>
      </c>
      <c r="BY23" s="39">
        <v>1</v>
      </c>
      <c r="BZ23">
        <v>1</v>
      </c>
      <c r="CA23" s="39">
        <v>0</v>
      </c>
      <c r="CB23" s="39">
        <v>1</v>
      </c>
      <c r="CC23" s="39">
        <v>1</v>
      </c>
      <c r="CD23" s="39">
        <v>0</v>
      </c>
      <c r="CE23" s="39">
        <v>0</v>
      </c>
      <c r="CF23" s="39">
        <v>0</v>
      </c>
      <c r="CG23" s="39">
        <v>0</v>
      </c>
      <c r="CH23" s="39">
        <v>1</v>
      </c>
      <c r="CI23" s="39">
        <v>0</v>
      </c>
      <c r="CJ23" s="39">
        <v>0</v>
      </c>
      <c r="CK23" s="39">
        <v>0</v>
      </c>
      <c r="CL23" s="39">
        <v>1</v>
      </c>
      <c r="CM23" s="39">
        <v>0</v>
      </c>
      <c r="CN23" s="39">
        <v>0</v>
      </c>
      <c r="CO23">
        <v>1</v>
      </c>
      <c r="CP23" s="39">
        <v>0</v>
      </c>
      <c r="CQ23" s="39">
        <v>0</v>
      </c>
      <c r="CR23" s="39">
        <v>0</v>
      </c>
      <c r="CS23" s="39">
        <v>0</v>
      </c>
      <c r="CT23" s="39">
        <v>0</v>
      </c>
      <c r="CU23" s="39">
        <v>0</v>
      </c>
      <c r="CV23" s="39">
        <v>0</v>
      </c>
      <c r="CW23" s="31"/>
      <c r="CX23" s="39">
        <v>1</v>
      </c>
      <c r="CY23">
        <v>0</v>
      </c>
      <c r="DA23" s="43">
        <v>43718</v>
      </c>
      <c r="DB23" s="66">
        <f t="shared" si="5"/>
        <v>7</v>
      </c>
      <c r="DC23" s="39" t="s">
        <v>1</v>
      </c>
      <c r="DD23" s="39">
        <v>0</v>
      </c>
      <c r="DE23" s="43">
        <v>43728</v>
      </c>
      <c r="DF23" s="39">
        <v>11</v>
      </c>
      <c r="DG23" s="43">
        <v>43718</v>
      </c>
      <c r="DH23" s="39">
        <v>12</v>
      </c>
      <c r="DI23" s="39">
        <v>7.2</v>
      </c>
      <c r="DJ23" s="39">
        <v>2.2000000000000002</v>
      </c>
      <c r="DK23" s="80">
        <v>333</v>
      </c>
      <c r="DL23" s="39">
        <v>5</v>
      </c>
      <c r="DM23" s="39">
        <v>87</v>
      </c>
      <c r="DO23" s="39">
        <v>2</v>
      </c>
      <c r="DP23" s="39">
        <v>333</v>
      </c>
      <c r="DR23" s="39">
        <v>66</v>
      </c>
      <c r="DS23" s="39">
        <v>5.3</v>
      </c>
      <c r="DU23" s="39">
        <v>114</v>
      </c>
      <c r="DV23" s="39">
        <v>5</v>
      </c>
      <c r="DW23" s="43">
        <v>43718</v>
      </c>
      <c r="DX23" s="39">
        <v>10.3</v>
      </c>
      <c r="DY23" s="39">
        <v>10</v>
      </c>
      <c r="DZ23">
        <v>0</v>
      </c>
      <c r="EA23" s="39">
        <v>11</v>
      </c>
      <c r="EB23">
        <v>0</v>
      </c>
      <c r="EC23" s="39">
        <v>0.89</v>
      </c>
      <c r="ED23" s="39">
        <v>0.84</v>
      </c>
      <c r="EE23">
        <v>0</v>
      </c>
      <c r="EF23" s="39">
        <v>1</v>
      </c>
      <c r="EG23">
        <v>0</v>
      </c>
      <c r="EH23" s="39">
        <v>59</v>
      </c>
      <c r="EI23" s="62">
        <v>3.4745762711864399</v>
      </c>
      <c r="EJ23" s="39">
        <v>205</v>
      </c>
      <c r="EK23" s="39">
        <v>1</v>
      </c>
      <c r="EL23">
        <f t="shared" si="6"/>
        <v>146</v>
      </c>
      <c r="EM23" s="39">
        <v>205</v>
      </c>
      <c r="EN23" s="39">
        <v>1</v>
      </c>
      <c r="EO23" s="39">
        <v>0.13</v>
      </c>
      <c r="ER23" s="39">
        <v>23</v>
      </c>
      <c r="ET23" s="39">
        <v>65</v>
      </c>
      <c r="EU23" s="39">
        <v>119</v>
      </c>
      <c r="EV23" s="39">
        <v>68</v>
      </c>
      <c r="EW23" s="39">
        <v>130</v>
      </c>
      <c r="EX23" s="39">
        <v>9</v>
      </c>
      <c r="EY23" s="39">
        <v>5</v>
      </c>
      <c r="FB23">
        <v>0</v>
      </c>
      <c r="FC23" s="39">
        <v>1</v>
      </c>
      <c r="FD23" s="39">
        <v>0</v>
      </c>
      <c r="FF23" s="39">
        <v>1</v>
      </c>
      <c r="FG23">
        <v>0</v>
      </c>
      <c r="FK23">
        <v>0</v>
      </c>
      <c r="FL23">
        <v>0</v>
      </c>
      <c r="FM23"/>
      <c r="FN23"/>
      <c r="FO23">
        <v>0</v>
      </c>
      <c r="FQ23" s="44">
        <v>43718</v>
      </c>
      <c r="FR23" s="45" t="s">
        <v>230</v>
      </c>
      <c r="FS23" s="45">
        <v>1</v>
      </c>
      <c r="FT23" s="45">
        <v>0</v>
      </c>
      <c r="FU23" s="45">
        <v>1</v>
      </c>
      <c r="FV23" s="45">
        <v>0</v>
      </c>
      <c r="FW23" s="45">
        <v>1</v>
      </c>
      <c r="FX23" s="45">
        <v>0</v>
      </c>
      <c r="FY23" s="45">
        <v>0</v>
      </c>
      <c r="FZ23" s="45">
        <v>1</v>
      </c>
      <c r="GA23" s="45">
        <v>1</v>
      </c>
      <c r="GB23" s="45">
        <v>1</v>
      </c>
      <c r="GC23" s="45">
        <v>1</v>
      </c>
      <c r="GD23" s="45">
        <v>1</v>
      </c>
      <c r="GE23" s="45">
        <v>1</v>
      </c>
      <c r="GF23" s="45">
        <v>0</v>
      </c>
      <c r="GG23" s="45">
        <v>0</v>
      </c>
      <c r="GH23" s="45">
        <v>0</v>
      </c>
      <c r="GI23" s="45">
        <v>1</v>
      </c>
      <c r="GJ23" s="45">
        <v>0</v>
      </c>
      <c r="GK23" s="45">
        <v>0</v>
      </c>
      <c r="GL23" s="45">
        <v>1</v>
      </c>
      <c r="GM23" s="45">
        <v>0</v>
      </c>
      <c r="GN23" s="45">
        <v>0</v>
      </c>
      <c r="GO23" s="45">
        <v>0</v>
      </c>
      <c r="GP23" s="45">
        <v>0</v>
      </c>
      <c r="GQ23" s="45">
        <v>0</v>
      </c>
      <c r="GR23" s="45">
        <v>0</v>
      </c>
      <c r="GS23" s="45">
        <v>0</v>
      </c>
      <c r="GT23" s="45">
        <v>0</v>
      </c>
      <c r="GU23" s="45">
        <v>1</v>
      </c>
      <c r="GV23" s="45">
        <v>0</v>
      </c>
      <c r="GW23" s="45">
        <v>0</v>
      </c>
      <c r="GX23" s="45">
        <v>0</v>
      </c>
      <c r="GY23" s="15">
        <v>0</v>
      </c>
      <c r="GZ23" s="15">
        <v>0</v>
      </c>
      <c r="HA23" s="45">
        <v>0</v>
      </c>
      <c r="HB23" s="45">
        <v>1</v>
      </c>
      <c r="HC23" s="45">
        <v>0</v>
      </c>
      <c r="HD23" s="45">
        <v>0</v>
      </c>
      <c r="HE23" s="15">
        <v>0</v>
      </c>
      <c r="HF23" s="15">
        <v>0</v>
      </c>
      <c r="HG23" s="45">
        <v>0</v>
      </c>
      <c r="HH23" s="45">
        <v>1</v>
      </c>
      <c r="HI23" s="45">
        <v>1</v>
      </c>
      <c r="HJ23" s="45">
        <v>1</v>
      </c>
      <c r="HK23" s="45">
        <v>0</v>
      </c>
      <c r="HL23" s="45">
        <v>1</v>
      </c>
      <c r="HM23" s="45">
        <v>0</v>
      </c>
      <c r="HN23" s="45">
        <v>1</v>
      </c>
      <c r="HO23" s="45">
        <v>1</v>
      </c>
      <c r="HP23" s="45">
        <v>0</v>
      </c>
      <c r="HQ23" s="45">
        <v>0</v>
      </c>
      <c r="HR23" s="45">
        <v>0</v>
      </c>
      <c r="HS23" s="45">
        <v>0</v>
      </c>
      <c r="HT23" s="45">
        <v>1</v>
      </c>
      <c r="HU23" s="45">
        <v>1</v>
      </c>
      <c r="HV23" s="45">
        <v>0</v>
      </c>
      <c r="HW23" s="45">
        <v>0</v>
      </c>
      <c r="HX23" s="45">
        <v>0</v>
      </c>
      <c r="HY23" s="44">
        <v>43724</v>
      </c>
      <c r="HZ23" s="45" t="s">
        <v>231</v>
      </c>
      <c r="IA23" s="45">
        <v>1</v>
      </c>
      <c r="IB23" s="45">
        <v>1</v>
      </c>
      <c r="IC23" s="45">
        <v>1</v>
      </c>
      <c r="ID23" s="45">
        <v>0</v>
      </c>
      <c r="IE23" s="45">
        <v>1</v>
      </c>
      <c r="IF23" s="45">
        <v>0</v>
      </c>
      <c r="IG23" s="45">
        <v>0</v>
      </c>
      <c r="IH23" s="45">
        <v>1</v>
      </c>
      <c r="II23" s="45">
        <v>1</v>
      </c>
      <c r="IJ23" s="45">
        <v>1</v>
      </c>
      <c r="IK23" s="45">
        <v>1</v>
      </c>
      <c r="IL23" s="45">
        <v>1</v>
      </c>
      <c r="IM23" s="45">
        <v>1</v>
      </c>
      <c r="IN23" s="45">
        <v>0</v>
      </c>
      <c r="IO23" s="45">
        <v>0</v>
      </c>
      <c r="IP23" s="45">
        <v>0</v>
      </c>
      <c r="IQ23" s="45">
        <v>1</v>
      </c>
      <c r="IR23" s="45">
        <v>0</v>
      </c>
      <c r="IS23" s="45">
        <v>0</v>
      </c>
      <c r="IT23" s="45">
        <v>1</v>
      </c>
      <c r="IU23" s="45">
        <v>0</v>
      </c>
      <c r="IV23" s="45">
        <v>0</v>
      </c>
      <c r="IW23" s="45">
        <v>0</v>
      </c>
      <c r="IX23" s="45">
        <v>0</v>
      </c>
      <c r="IY23" s="45">
        <v>0</v>
      </c>
      <c r="IZ23" s="45">
        <v>0</v>
      </c>
      <c r="JA23" s="45">
        <v>0</v>
      </c>
      <c r="JB23" s="45">
        <v>0</v>
      </c>
      <c r="JC23" s="45">
        <v>1</v>
      </c>
      <c r="JD23" s="45">
        <v>0</v>
      </c>
      <c r="JE23" s="45">
        <v>0</v>
      </c>
      <c r="JF23" s="45">
        <v>0</v>
      </c>
      <c r="JG23" s="15">
        <v>0</v>
      </c>
      <c r="JH23" s="15">
        <v>0</v>
      </c>
      <c r="JI23" s="45">
        <v>0</v>
      </c>
      <c r="JJ23" s="45">
        <v>1</v>
      </c>
      <c r="JK23" s="45">
        <v>0</v>
      </c>
      <c r="JL23" s="45">
        <v>0</v>
      </c>
      <c r="JM23" s="15">
        <v>0</v>
      </c>
      <c r="JN23" s="15">
        <v>0</v>
      </c>
      <c r="JO23" s="45">
        <v>0</v>
      </c>
      <c r="JP23" s="45">
        <v>1</v>
      </c>
      <c r="JQ23" s="45">
        <v>1</v>
      </c>
      <c r="JR23" s="45">
        <v>0</v>
      </c>
      <c r="JS23" s="45">
        <v>0</v>
      </c>
      <c r="JT23" s="45">
        <v>0</v>
      </c>
      <c r="JU23" s="45">
        <v>0</v>
      </c>
      <c r="JV23" s="45">
        <v>0</v>
      </c>
      <c r="JW23" s="45">
        <v>1</v>
      </c>
      <c r="JX23" s="45">
        <v>0</v>
      </c>
      <c r="JY23" s="45">
        <v>0</v>
      </c>
      <c r="JZ23" s="45">
        <v>0</v>
      </c>
      <c r="KA23" s="45">
        <v>0</v>
      </c>
      <c r="KB23" s="45">
        <v>0</v>
      </c>
      <c r="KC23" s="45">
        <v>1</v>
      </c>
      <c r="KD23" s="45">
        <v>0</v>
      </c>
      <c r="KE23" s="45">
        <v>0</v>
      </c>
      <c r="KF23" s="45">
        <v>0</v>
      </c>
      <c r="KG23"/>
      <c r="KH23"/>
      <c r="KI23">
        <v>1</v>
      </c>
      <c r="KJ23">
        <v>1</v>
      </c>
      <c r="KK23">
        <v>1</v>
      </c>
      <c r="KL23">
        <v>0</v>
      </c>
      <c r="KM23">
        <v>1</v>
      </c>
      <c r="KN23">
        <v>0</v>
      </c>
      <c r="KO23">
        <v>0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0</v>
      </c>
      <c r="KW23">
        <v>0</v>
      </c>
      <c r="KX23">
        <v>0</v>
      </c>
      <c r="KY23">
        <v>1</v>
      </c>
      <c r="KZ23">
        <v>0</v>
      </c>
      <c r="LA23">
        <v>0</v>
      </c>
      <c r="LB23">
        <v>1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1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1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1</v>
      </c>
      <c r="LY23">
        <v>1</v>
      </c>
      <c r="LZ23">
        <v>1</v>
      </c>
      <c r="MA23">
        <v>0</v>
      </c>
      <c r="MB23">
        <v>1</v>
      </c>
      <c r="MC23">
        <v>0</v>
      </c>
      <c r="MD23">
        <v>1</v>
      </c>
      <c r="ME23">
        <v>1</v>
      </c>
      <c r="MF23">
        <v>0</v>
      </c>
      <c r="MG23">
        <v>0</v>
      </c>
      <c r="MH23">
        <v>0</v>
      </c>
      <c r="MI23">
        <v>0</v>
      </c>
      <c r="MJ23">
        <v>1</v>
      </c>
      <c r="MK23">
        <v>1</v>
      </c>
      <c r="ML23">
        <v>0</v>
      </c>
      <c r="MM23">
        <v>0</v>
      </c>
      <c r="MN23">
        <v>0</v>
      </c>
      <c r="MO23">
        <v>1</v>
      </c>
      <c r="MP23">
        <v>0</v>
      </c>
      <c r="MQ23">
        <v>1</v>
      </c>
      <c r="MR23">
        <v>1</v>
      </c>
      <c r="MS23">
        <v>0</v>
      </c>
      <c r="MT23">
        <v>1</v>
      </c>
    </row>
    <row r="24" spans="1:359" s="39" customFormat="1" ht="18" x14ac:dyDescent="0.25">
      <c r="A24" t="s">
        <v>416</v>
      </c>
      <c r="B24" s="40">
        <v>87</v>
      </c>
      <c r="C24" s="40">
        <v>0</v>
      </c>
      <c r="D24" s="40">
        <v>0</v>
      </c>
      <c r="E24" s="40"/>
      <c r="F24" s="55">
        <v>29</v>
      </c>
      <c r="G24" s="55"/>
      <c r="H24" s="57">
        <v>0</v>
      </c>
      <c r="I24" s="57">
        <v>0</v>
      </c>
      <c r="J24" s="57"/>
      <c r="K24" s="40"/>
      <c r="L24" s="40"/>
      <c r="M24" s="40"/>
      <c r="N24" s="40">
        <v>0</v>
      </c>
      <c r="O24" s="42">
        <v>42922</v>
      </c>
      <c r="P24" s="64">
        <f t="shared" si="0"/>
        <v>29</v>
      </c>
      <c r="Q24" s="39">
        <v>1</v>
      </c>
      <c r="R24" s="39">
        <v>0</v>
      </c>
      <c r="S24" s="39">
        <v>1</v>
      </c>
      <c r="T24" s="39">
        <v>75</v>
      </c>
      <c r="U24" s="39">
        <v>1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0</v>
      </c>
      <c r="AF24" s="39">
        <v>0</v>
      </c>
      <c r="AG24" s="39">
        <v>0</v>
      </c>
      <c r="AH24" s="39">
        <v>0</v>
      </c>
      <c r="AI24" s="39">
        <v>0</v>
      </c>
      <c r="AJ24" s="39">
        <v>1</v>
      </c>
      <c r="AK24" s="39">
        <v>0</v>
      </c>
      <c r="AL24" s="39">
        <v>0</v>
      </c>
      <c r="AM24" s="39">
        <v>0</v>
      </c>
      <c r="AN24" s="39">
        <v>72</v>
      </c>
      <c r="AO24" s="39">
        <v>170</v>
      </c>
      <c r="AP24" s="39">
        <v>24.9</v>
      </c>
      <c r="AQ24" s="39">
        <v>37.1</v>
      </c>
      <c r="AR24" s="39">
        <v>120</v>
      </c>
      <c r="AS24" s="39">
        <v>70</v>
      </c>
      <c r="AT24" s="39">
        <v>1</v>
      </c>
      <c r="AU24">
        <v>0</v>
      </c>
      <c r="AV24" s="39">
        <v>40</v>
      </c>
      <c r="AW24" s="43">
        <v>42893</v>
      </c>
      <c r="AX24" s="43">
        <v>42893</v>
      </c>
      <c r="AY24" s="39">
        <v>0</v>
      </c>
      <c r="AZ24" s="43">
        <v>42889</v>
      </c>
      <c r="BA24" s="39">
        <v>1</v>
      </c>
      <c r="BB24" s="39">
        <v>0</v>
      </c>
      <c r="BC24" s="39">
        <v>0</v>
      </c>
      <c r="BD24" s="39">
        <v>0</v>
      </c>
      <c r="BE24" s="39">
        <v>0</v>
      </c>
      <c r="BF24" s="39">
        <v>0</v>
      </c>
      <c r="BG24" s="39">
        <v>0</v>
      </c>
      <c r="BH24" s="39">
        <v>0</v>
      </c>
      <c r="BI24" s="39">
        <v>1</v>
      </c>
      <c r="BJ24" s="39">
        <v>3</v>
      </c>
      <c r="BK24">
        <v>0</v>
      </c>
      <c r="BL24">
        <v>0</v>
      </c>
      <c r="BM24" s="66">
        <v>0</v>
      </c>
      <c r="BN24" s="39">
        <v>1</v>
      </c>
      <c r="BO24">
        <v>0</v>
      </c>
      <c r="BP24" s="66">
        <f t="shared" si="12"/>
        <v>4</v>
      </c>
      <c r="BQ24" s="39">
        <v>1</v>
      </c>
      <c r="BR24" s="39">
        <v>3</v>
      </c>
      <c r="BS24">
        <v>0</v>
      </c>
      <c r="BT24">
        <v>0</v>
      </c>
      <c r="BU24" s="66">
        <f t="shared" si="13"/>
        <v>0</v>
      </c>
      <c r="BV24" s="39">
        <v>1</v>
      </c>
      <c r="BW24">
        <v>0</v>
      </c>
      <c r="BX24" s="66">
        <f t="shared" si="3"/>
        <v>4</v>
      </c>
      <c r="BY24" s="39">
        <v>1</v>
      </c>
      <c r="BZ24">
        <v>1</v>
      </c>
      <c r="CA24" s="39">
        <v>0</v>
      </c>
      <c r="CD24" s="39">
        <v>1</v>
      </c>
      <c r="CO24">
        <f t="shared" si="7"/>
        <v>0</v>
      </c>
      <c r="CP24" s="39">
        <v>0</v>
      </c>
      <c r="CQ24" s="39">
        <v>0</v>
      </c>
      <c r="CR24" s="39">
        <v>0</v>
      </c>
      <c r="CS24" s="39">
        <v>0</v>
      </c>
      <c r="CT24" s="39">
        <v>0</v>
      </c>
      <c r="CW24" s="31"/>
      <c r="DA24" s="43">
        <v>42895</v>
      </c>
      <c r="DB24" s="66">
        <f t="shared" si="5"/>
        <v>6</v>
      </c>
      <c r="DC24" s="39" t="s">
        <v>1</v>
      </c>
      <c r="DD24" s="39">
        <v>0</v>
      </c>
      <c r="DE24" s="43">
        <v>42899</v>
      </c>
      <c r="DF24" s="39">
        <v>5</v>
      </c>
      <c r="DG24" s="43">
        <v>42895</v>
      </c>
      <c r="DH24" s="39">
        <v>10</v>
      </c>
      <c r="DI24" s="39">
        <v>3.3</v>
      </c>
      <c r="DJ24" s="39">
        <v>0.6</v>
      </c>
      <c r="DK24" s="80">
        <v>175</v>
      </c>
      <c r="DM24" s="39">
        <v>74</v>
      </c>
      <c r="DO24" s="39">
        <v>1</v>
      </c>
      <c r="DP24" s="39">
        <v>175</v>
      </c>
      <c r="DR24" s="39">
        <v>135</v>
      </c>
      <c r="DS24" s="39">
        <v>12</v>
      </c>
      <c r="DW24" s="43">
        <v>42893</v>
      </c>
      <c r="DX24" s="39">
        <v>4</v>
      </c>
      <c r="DY24" s="39">
        <v>5.9</v>
      </c>
      <c r="DZ24">
        <v>0</v>
      </c>
      <c r="EA24" s="39">
        <v>5.9</v>
      </c>
      <c r="EB24">
        <v>0</v>
      </c>
      <c r="EC24" s="39">
        <v>1.2</v>
      </c>
      <c r="ED24" s="39">
        <v>1.1399999999999999</v>
      </c>
      <c r="EE24">
        <v>0</v>
      </c>
      <c r="EF24" s="39">
        <v>1.2</v>
      </c>
      <c r="EG24">
        <v>0</v>
      </c>
      <c r="EH24" s="39">
        <v>76</v>
      </c>
      <c r="EI24" s="62">
        <v>0.96052631578947401</v>
      </c>
      <c r="EJ24" s="39">
        <v>73</v>
      </c>
      <c r="EK24">
        <v>0</v>
      </c>
      <c r="EL24">
        <f t="shared" si="6"/>
        <v>-3</v>
      </c>
      <c r="EM24" s="39">
        <v>76</v>
      </c>
      <c r="EN24">
        <v>0</v>
      </c>
      <c r="EO24" s="39">
        <v>2.02</v>
      </c>
      <c r="ER24" s="39">
        <v>23</v>
      </c>
      <c r="ET24" s="39">
        <v>46</v>
      </c>
      <c r="EU24" s="39">
        <v>32</v>
      </c>
      <c r="EV24" s="39">
        <v>38</v>
      </c>
      <c r="EW24" s="39">
        <v>55</v>
      </c>
      <c r="EX24" s="39">
        <v>16</v>
      </c>
      <c r="EY24" s="39">
        <v>6</v>
      </c>
      <c r="FC24" s="39">
        <v>1</v>
      </c>
      <c r="FD24" s="39">
        <v>1</v>
      </c>
      <c r="FF24" s="39">
        <v>1</v>
      </c>
      <c r="FG24">
        <v>1</v>
      </c>
      <c r="FH24" s="43">
        <v>42895</v>
      </c>
      <c r="FI24" s="43"/>
      <c r="FJ24" s="43"/>
      <c r="FK24">
        <v>0</v>
      </c>
      <c r="FL24">
        <v>0</v>
      </c>
      <c r="FM24"/>
      <c r="FN24"/>
      <c r="FO24">
        <v>0</v>
      </c>
      <c r="FQ24" s="44">
        <v>42889</v>
      </c>
      <c r="FR24" s="45" t="s">
        <v>230</v>
      </c>
      <c r="FS24" s="45">
        <v>1</v>
      </c>
      <c r="FT24" s="45">
        <v>1</v>
      </c>
      <c r="FU24" s="45">
        <v>1</v>
      </c>
      <c r="FV24" s="45">
        <v>0</v>
      </c>
      <c r="FW24" s="45">
        <v>1</v>
      </c>
      <c r="FX24" s="45">
        <v>0</v>
      </c>
      <c r="FY24" s="45">
        <v>0</v>
      </c>
      <c r="FZ24" s="45">
        <v>0</v>
      </c>
      <c r="GA24" s="45">
        <v>0</v>
      </c>
      <c r="GB24" s="45">
        <v>0</v>
      </c>
      <c r="GC24" s="45">
        <v>0</v>
      </c>
      <c r="GD24" s="45">
        <v>0</v>
      </c>
      <c r="GE24" s="45">
        <v>1</v>
      </c>
      <c r="GF24" s="45">
        <v>1</v>
      </c>
      <c r="GG24" s="45">
        <v>0</v>
      </c>
      <c r="GH24" s="45">
        <v>0</v>
      </c>
      <c r="GI24" s="45">
        <v>0</v>
      </c>
      <c r="GJ24" s="45">
        <v>1</v>
      </c>
      <c r="GK24" s="45">
        <v>0</v>
      </c>
      <c r="GL24" s="45">
        <v>1</v>
      </c>
      <c r="GM24" s="45">
        <v>0</v>
      </c>
      <c r="GN24" s="45">
        <v>0</v>
      </c>
      <c r="GO24" s="45">
        <v>0</v>
      </c>
      <c r="GP24" s="45">
        <v>0</v>
      </c>
      <c r="GQ24" s="45">
        <v>0</v>
      </c>
      <c r="GR24" s="45">
        <v>0</v>
      </c>
      <c r="GS24" s="45">
        <v>0</v>
      </c>
      <c r="GT24" s="45">
        <v>1</v>
      </c>
      <c r="GU24" s="45">
        <v>0</v>
      </c>
      <c r="GV24" s="45">
        <v>1</v>
      </c>
      <c r="GW24" s="45">
        <v>1</v>
      </c>
      <c r="GX24" s="45" t="s">
        <v>233</v>
      </c>
      <c r="GY24" s="45">
        <v>1</v>
      </c>
      <c r="GZ24" s="15">
        <v>0</v>
      </c>
      <c r="HA24" s="45">
        <v>0</v>
      </c>
      <c r="HB24" s="45">
        <v>0</v>
      </c>
      <c r="HC24" s="45">
        <v>1</v>
      </c>
      <c r="HD24" s="45" t="s">
        <v>234</v>
      </c>
      <c r="HE24" s="45">
        <v>1</v>
      </c>
      <c r="HF24" s="45">
        <v>1</v>
      </c>
      <c r="HG24" s="45">
        <v>0</v>
      </c>
      <c r="HH24" s="45">
        <v>0</v>
      </c>
      <c r="HI24" s="45">
        <v>1</v>
      </c>
      <c r="HJ24" s="45">
        <v>1</v>
      </c>
      <c r="HK24" s="45">
        <v>0</v>
      </c>
      <c r="HL24" s="45">
        <v>1</v>
      </c>
      <c r="HM24" s="45">
        <v>0</v>
      </c>
      <c r="HN24" s="45">
        <v>0</v>
      </c>
      <c r="HO24" s="45">
        <v>1</v>
      </c>
      <c r="HP24" s="45">
        <v>0</v>
      </c>
      <c r="HQ24" s="45">
        <v>0</v>
      </c>
      <c r="HR24" s="45">
        <v>0</v>
      </c>
      <c r="HS24" s="45">
        <v>0</v>
      </c>
      <c r="HT24" s="45">
        <v>1</v>
      </c>
      <c r="HU24" s="45">
        <v>0</v>
      </c>
      <c r="HV24" s="45">
        <v>0</v>
      </c>
      <c r="HW24" s="45">
        <v>0</v>
      </c>
      <c r="HX24" s="45">
        <v>1</v>
      </c>
      <c r="HY24" s="44">
        <v>42895</v>
      </c>
      <c r="HZ24" s="45" t="s">
        <v>231</v>
      </c>
      <c r="IA24" s="45">
        <v>1</v>
      </c>
      <c r="IB24" s="45">
        <v>1</v>
      </c>
      <c r="IC24" s="45">
        <v>1</v>
      </c>
      <c r="ID24" s="45">
        <v>0</v>
      </c>
      <c r="IE24" s="45">
        <v>1</v>
      </c>
      <c r="IF24" s="45">
        <v>0</v>
      </c>
      <c r="IG24" s="45">
        <v>0</v>
      </c>
      <c r="IH24" s="45">
        <v>0</v>
      </c>
      <c r="II24" s="45">
        <v>0</v>
      </c>
      <c r="IJ24" s="45">
        <v>0</v>
      </c>
      <c r="IK24" s="45">
        <v>0</v>
      </c>
      <c r="IL24" s="45">
        <v>0</v>
      </c>
      <c r="IM24" s="45">
        <v>1</v>
      </c>
      <c r="IN24" s="45">
        <v>1</v>
      </c>
      <c r="IO24" s="45">
        <v>0</v>
      </c>
      <c r="IP24" s="45">
        <v>0</v>
      </c>
      <c r="IQ24" s="45">
        <v>0</v>
      </c>
      <c r="IR24" s="45">
        <v>1</v>
      </c>
      <c r="IS24" s="45">
        <v>0</v>
      </c>
      <c r="IT24" s="45">
        <v>1</v>
      </c>
      <c r="IU24" s="45">
        <v>0</v>
      </c>
      <c r="IV24" s="45">
        <v>0</v>
      </c>
      <c r="IW24" s="45">
        <v>0</v>
      </c>
      <c r="IX24" s="45">
        <v>0</v>
      </c>
      <c r="IY24" s="45">
        <v>0</v>
      </c>
      <c r="IZ24" s="45">
        <v>0</v>
      </c>
      <c r="JA24" s="45">
        <v>0</v>
      </c>
      <c r="JB24" s="45">
        <v>1</v>
      </c>
      <c r="JC24" s="45">
        <v>0</v>
      </c>
      <c r="JD24" s="45">
        <v>1</v>
      </c>
      <c r="JE24" s="45">
        <v>1</v>
      </c>
      <c r="JF24" s="45" t="s">
        <v>233</v>
      </c>
      <c r="JG24" s="45">
        <v>1</v>
      </c>
      <c r="JH24" s="15">
        <v>0</v>
      </c>
      <c r="JI24" s="45">
        <v>0</v>
      </c>
      <c r="JJ24" s="45">
        <v>0</v>
      </c>
      <c r="JK24" s="45">
        <v>1</v>
      </c>
      <c r="JL24" s="45" t="s">
        <v>234</v>
      </c>
      <c r="JM24" s="45">
        <v>1</v>
      </c>
      <c r="JN24" s="45">
        <v>1</v>
      </c>
      <c r="JO24" s="45">
        <v>0</v>
      </c>
      <c r="JP24" s="45">
        <v>0</v>
      </c>
      <c r="JQ24" s="45">
        <v>0</v>
      </c>
      <c r="JR24" s="45">
        <v>1</v>
      </c>
      <c r="JS24" s="45">
        <v>0</v>
      </c>
      <c r="JT24" s="45">
        <v>1</v>
      </c>
      <c r="JU24" s="45">
        <v>0</v>
      </c>
      <c r="JV24" s="45">
        <v>0</v>
      </c>
      <c r="JW24" s="45">
        <v>1</v>
      </c>
      <c r="JX24" s="45">
        <v>0</v>
      </c>
      <c r="JY24" s="45">
        <v>0</v>
      </c>
      <c r="JZ24" s="45">
        <v>0</v>
      </c>
      <c r="KA24" s="45">
        <v>0</v>
      </c>
      <c r="KB24" s="45">
        <v>1</v>
      </c>
      <c r="KC24" s="45">
        <v>0</v>
      </c>
      <c r="KD24" s="45">
        <v>0</v>
      </c>
      <c r="KE24" s="45">
        <v>0</v>
      </c>
      <c r="KF24" s="45">
        <v>1</v>
      </c>
      <c r="KG24"/>
      <c r="KH24"/>
      <c r="KI24">
        <v>1</v>
      </c>
      <c r="KJ24">
        <v>1</v>
      </c>
      <c r="KK24">
        <v>1</v>
      </c>
      <c r="KL24">
        <v>0</v>
      </c>
      <c r="KM24">
        <v>1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1</v>
      </c>
      <c r="KV24">
        <v>1</v>
      </c>
      <c r="KW24">
        <v>0</v>
      </c>
      <c r="KX24">
        <v>0</v>
      </c>
      <c r="KY24">
        <v>0</v>
      </c>
      <c r="KZ24">
        <v>1</v>
      </c>
      <c r="LA24">
        <v>0</v>
      </c>
      <c r="LB24">
        <v>1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1</v>
      </c>
      <c r="LK24">
        <v>0</v>
      </c>
      <c r="LL24">
        <v>1</v>
      </c>
      <c r="LM24">
        <v>1</v>
      </c>
      <c r="LN24"/>
      <c r="LO24">
        <v>1</v>
      </c>
      <c r="LP24">
        <v>0</v>
      </c>
      <c r="LQ24">
        <v>0</v>
      </c>
      <c r="LR24">
        <v>0</v>
      </c>
      <c r="LS24">
        <v>1</v>
      </c>
      <c r="LT24"/>
      <c r="LU24">
        <v>1</v>
      </c>
      <c r="LV24">
        <v>1</v>
      </c>
      <c r="LW24">
        <v>0</v>
      </c>
      <c r="LX24">
        <v>0</v>
      </c>
      <c r="LY24">
        <v>1</v>
      </c>
      <c r="LZ24">
        <v>1</v>
      </c>
      <c r="MA24">
        <v>0</v>
      </c>
      <c r="MB24">
        <v>1</v>
      </c>
      <c r="MC24">
        <v>0</v>
      </c>
      <c r="MD24">
        <v>0</v>
      </c>
      <c r="ME24">
        <v>1</v>
      </c>
      <c r="MF24">
        <v>0</v>
      </c>
      <c r="MG24">
        <v>0</v>
      </c>
      <c r="MH24">
        <v>0</v>
      </c>
      <c r="MI24">
        <v>0</v>
      </c>
      <c r="MJ24">
        <v>1</v>
      </c>
      <c r="MK24">
        <v>0</v>
      </c>
      <c r="ML24">
        <v>0</v>
      </c>
      <c r="MM24">
        <v>0</v>
      </c>
      <c r="MN24">
        <v>1</v>
      </c>
      <c r="MO24">
        <v>1</v>
      </c>
      <c r="MP24">
        <v>0</v>
      </c>
      <c r="MQ24">
        <v>1</v>
      </c>
      <c r="MR24">
        <v>1</v>
      </c>
      <c r="MS24">
        <v>1</v>
      </c>
    </row>
    <row r="25" spans="1:359" s="39" customFormat="1" ht="18" x14ac:dyDescent="0.25">
      <c r="A25" t="s">
        <v>417</v>
      </c>
      <c r="B25" s="40">
        <v>29</v>
      </c>
      <c r="C25" s="40">
        <v>0</v>
      </c>
      <c r="D25" s="40">
        <v>0</v>
      </c>
      <c r="E25" s="40"/>
      <c r="F25" s="55">
        <v>1535</v>
      </c>
      <c r="G25" s="55"/>
      <c r="H25" s="57">
        <v>0</v>
      </c>
      <c r="I25" s="57">
        <v>0</v>
      </c>
      <c r="J25" s="57"/>
      <c r="K25" s="40"/>
      <c r="L25" s="40"/>
      <c r="M25" s="50"/>
      <c r="N25" s="40">
        <v>0</v>
      </c>
      <c r="O25" s="42">
        <v>44998</v>
      </c>
      <c r="P25" s="64">
        <f t="shared" si="0"/>
        <v>1535</v>
      </c>
      <c r="Q25" s="39">
        <v>1</v>
      </c>
      <c r="R25" s="39">
        <v>0</v>
      </c>
      <c r="S25" s="39">
        <v>0</v>
      </c>
      <c r="T25" s="39">
        <v>91</v>
      </c>
      <c r="U25" s="39">
        <v>0</v>
      </c>
      <c r="V25" s="39">
        <v>0</v>
      </c>
      <c r="W25" s="39">
        <v>0</v>
      </c>
      <c r="X25" s="39">
        <v>0</v>
      </c>
      <c r="Y25" s="39">
        <v>0</v>
      </c>
      <c r="Z25" s="39">
        <v>0</v>
      </c>
      <c r="AA25" s="39">
        <v>0</v>
      </c>
      <c r="AB25" s="39">
        <v>0</v>
      </c>
      <c r="AC25" s="39">
        <v>0</v>
      </c>
      <c r="AD25" s="39">
        <v>0</v>
      </c>
      <c r="AE25" s="39">
        <v>0</v>
      </c>
      <c r="AF25" s="39">
        <v>0</v>
      </c>
      <c r="AG25" s="39">
        <v>0</v>
      </c>
      <c r="AH25" s="39">
        <v>0</v>
      </c>
      <c r="AI25" s="39">
        <v>0</v>
      </c>
      <c r="AJ25" s="39">
        <v>0</v>
      </c>
      <c r="AK25" s="39">
        <v>0</v>
      </c>
      <c r="AL25" s="39">
        <v>0</v>
      </c>
      <c r="AM25" s="39">
        <v>1</v>
      </c>
      <c r="AN25" s="39">
        <v>100</v>
      </c>
      <c r="AO25" s="39">
        <v>171</v>
      </c>
      <c r="AP25" s="39">
        <v>34.200000000000003</v>
      </c>
      <c r="AQ25" s="39">
        <v>36.5</v>
      </c>
      <c r="AR25" s="39">
        <v>103</v>
      </c>
      <c r="AS25" s="39">
        <v>59</v>
      </c>
      <c r="AT25" s="39">
        <v>3</v>
      </c>
      <c r="AU25">
        <v>1</v>
      </c>
      <c r="AV25" s="39">
        <v>125</v>
      </c>
      <c r="AW25" s="43">
        <v>43463</v>
      </c>
      <c r="AX25" s="43">
        <v>43463</v>
      </c>
      <c r="AY25" s="39">
        <v>0</v>
      </c>
      <c r="AZ25" s="43">
        <v>43455</v>
      </c>
      <c r="BA25" s="39">
        <v>1</v>
      </c>
      <c r="BB25" s="39">
        <v>1</v>
      </c>
      <c r="BC25" s="39">
        <v>0</v>
      </c>
      <c r="BD25" s="39">
        <v>1</v>
      </c>
      <c r="BE25" s="39">
        <v>0</v>
      </c>
      <c r="BF25" s="39">
        <v>0</v>
      </c>
      <c r="BG25" s="39">
        <v>0</v>
      </c>
      <c r="BH25" s="39">
        <v>0</v>
      </c>
      <c r="BI25" s="39">
        <v>0</v>
      </c>
      <c r="BJ25">
        <v>0</v>
      </c>
      <c r="BK25">
        <v>0</v>
      </c>
      <c r="BL25">
        <v>0</v>
      </c>
      <c r="BM25" s="66">
        <v>0</v>
      </c>
      <c r="BN25">
        <v>0</v>
      </c>
      <c r="BO25">
        <v>0</v>
      </c>
      <c r="BP25" s="66">
        <f t="shared" si="12"/>
        <v>0</v>
      </c>
      <c r="BQ25">
        <v>0</v>
      </c>
      <c r="BR25">
        <v>0</v>
      </c>
      <c r="BS25">
        <v>0</v>
      </c>
      <c r="BT25">
        <v>0</v>
      </c>
      <c r="BU25" s="66">
        <f t="shared" si="13"/>
        <v>0</v>
      </c>
      <c r="BV25">
        <v>0</v>
      </c>
      <c r="BW25">
        <v>0</v>
      </c>
      <c r="BX25" s="66">
        <f t="shared" si="3"/>
        <v>0</v>
      </c>
      <c r="BY25">
        <v>0</v>
      </c>
      <c r="BZ25">
        <f t="shared" si="4"/>
        <v>0</v>
      </c>
      <c r="CA25" s="39">
        <v>0</v>
      </c>
      <c r="CB25" s="39">
        <v>0</v>
      </c>
      <c r="CD25" s="39">
        <v>0</v>
      </c>
      <c r="CE25" s="39">
        <v>0</v>
      </c>
      <c r="CF25" s="39">
        <v>0</v>
      </c>
      <c r="CG25" s="39">
        <v>0</v>
      </c>
      <c r="CH25" s="39">
        <v>0</v>
      </c>
      <c r="CI25" s="39">
        <v>0</v>
      </c>
      <c r="CJ25" s="39">
        <v>0</v>
      </c>
      <c r="CK25" s="39">
        <v>0</v>
      </c>
      <c r="CL25" s="39">
        <v>0</v>
      </c>
      <c r="CM25" s="39">
        <v>0</v>
      </c>
      <c r="CN25" s="39">
        <v>0</v>
      </c>
      <c r="CO25">
        <f t="shared" si="7"/>
        <v>0</v>
      </c>
      <c r="CP25" s="39">
        <v>1</v>
      </c>
      <c r="CQ25" s="39">
        <v>0</v>
      </c>
      <c r="CR25" s="39">
        <v>0</v>
      </c>
      <c r="CS25" s="39">
        <v>0</v>
      </c>
      <c r="CT25" s="39">
        <v>0</v>
      </c>
      <c r="CU25" s="39">
        <v>0</v>
      </c>
      <c r="CV25" s="39">
        <v>1</v>
      </c>
      <c r="CW25" s="31"/>
      <c r="DA25" s="43">
        <v>43464</v>
      </c>
      <c r="DB25" s="66">
        <f t="shared" si="5"/>
        <v>9</v>
      </c>
      <c r="DC25" s="39" t="s">
        <v>1</v>
      </c>
      <c r="DD25" s="39">
        <v>0</v>
      </c>
      <c r="DE25" s="43">
        <v>43472</v>
      </c>
      <c r="DF25" s="39">
        <v>9</v>
      </c>
      <c r="DG25" s="43">
        <v>43464</v>
      </c>
      <c r="DH25" s="39">
        <v>12</v>
      </c>
      <c r="DI25" s="39">
        <v>3.2</v>
      </c>
      <c r="DJ25" s="39">
        <v>2.8</v>
      </c>
      <c r="DK25" s="80">
        <v>280</v>
      </c>
      <c r="DM25" s="39">
        <v>93</v>
      </c>
      <c r="DO25" s="39">
        <v>1</v>
      </c>
      <c r="DP25" s="39">
        <v>280</v>
      </c>
      <c r="DR25" s="39">
        <v>65</v>
      </c>
      <c r="DT25" s="39">
        <v>308</v>
      </c>
      <c r="DU25" s="39">
        <v>104</v>
      </c>
      <c r="DW25" s="43">
        <v>43463</v>
      </c>
      <c r="DX25" s="39">
        <v>7</v>
      </c>
      <c r="DY25" s="39">
        <v>5.8</v>
      </c>
      <c r="DZ25">
        <v>0</v>
      </c>
      <c r="EA25" s="39">
        <v>7.4</v>
      </c>
      <c r="EB25">
        <v>0</v>
      </c>
      <c r="EC25" s="39">
        <v>0.7</v>
      </c>
      <c r="ED25" s="39">
        <v>0.75</v>
      </c>
      <c r="EE25">
        <v>0</v>
      </c>
      <c r="EF25" s="39">
        <v>1.53</v>
      </c>
      <c r="EG25">
        <v>0</v>
      </c>
      <c r="EH25" s="39">
        <v>98</v>
      </c>
      <c r="EI25" s="62">
        <v>1.2040816326530599</v>
      </c>
      <c r="EJ25" s="39">
        <v>118</v>
      </c>
      <c r="EK25">
        <v>0</v>
      </c>
      <c r="EL25">
        <f t="shared" si="6"/>
        <v>20</v>
      </c>
      <c r="EM25" s="39">
        <v>130</v>
      </c>
      <c r="EN25">
        <v>0</v>
      </c>
      <c r="EO25" s="39">
        <v>0.09</v>
      </c>
      <c r="ER25" s="39">
        <v>27</v>
      </c>
      <c r="ES25" s="39">
        <v>64</v>
      </c>
      <c r="ET25" s="39">
        <v>35</v>
      </c>
      <c r="EU25" s="39">
        <v>47</v>
      </c>
      <c r="EV25" s="39">
        <v>44</v>
      </c>
      <c r="EW25" s="39">
        <v>90</v>
      </c>
      <c r="EX25" s="39">
        <v>11</v>
      </c>
      <c r="FB25">
        <v>0</v>
      </c>
      <c r="FC25" s="39">
        <v>0</v>
      </c>
      <c r="FF25" s="39">
        <v>0</v>
      </c>
      <c r="FG25">
        <v>0</v>
      </c>
      <c r="FK25">
        <v>0</v>
      </c>
      <c r="FL25">
        <v>0</v>
      </c>
      <c r="FM25"/>
      <c r="FN25"/>
      <c r="FO25">
        <v>0</v>
      </c>
      <c r="FQ25" s="44">
        <v>43464</v>
      </c>
      <c r="FR25" s="44" t="s">
        <v>230</v>
      </c>
      <c r="FS25" s="45">
        <v>0</v>
      </c>
      <c r="FT25" s="45">
        <v>1</v>
      </c>
      <c r="FU25" s="45">
        <v>1</v>
      </c>
      <c r="FV25" s="45">
        <v>0</v>
      </c>
      <c r="FW25" s="45">
        <v>1</v>
      </c>
      <c r="FX25" s="45">
        <v>0</v>
      </c>
      <c r="FY25" s="45">
        <v>0</v>
      </c>
      <c r="FZ25" s="45">
        <v>0</v>
      </c>
      <c r="GA25" s="45">
        <v>0</v>
      </c>
      <c r="GB25" s="45">
        <v>1</v>
      </c>
      <c r="GC25" s="45">
        <v>1</v>
      </c>
      <c r="GD25" s="45">
        <v>1</v>
      </c>
      <c r="GE25" s="45">
        <v>1</v>
      </c>
      <c r="GF25" s="45">
        <v>1</v>
      </c>
      <c r="GG25" s="45">
        <v>1</v>
      </c>
      <c r="GH25" s="45">
        <v>1</v>
      </c>
      <c r="GI25" s="45">
        <v>1</v>
      </c>
      <c r="GJ25" s="45">
        <v>0</v>
      </c>
      <c r="GK25" s="45">
        <v>0</v>
      </c>
      <c r="GL25" s="45">
        <v>0</v>
      </c>
      <c r="GM25" s="45">
        <v>1</v>
      </c>
      <c r="GN25" s="45">
        <v>0</v>
      </c>
      <c r="GO25" s="45">
        <v>1</v>
      </c>
      <c r="GP25" s="45">
        <v>0</v>
      </c>
      <c r="GQ25" s="45">
        <v>1</v>
      </c>
      <c r="GR25" s="45">
        <v>0</v>
      </c>
      <c r="GS25" s="45">
        <v>1</v>
      </c>
      <c r="GT25" s="45">
        <v>0</v>
      </c>
      <c r="GU25" s="45">
        <v>1</v>
      </c>
      <c r="GV25" s="45">
        <v>0</v>
      </c>
      <c r="GW25" s="45">
        <v>0</v>
      </c>
      <c r="GX25" s="45">
        <v>0</v>
      </c>
      <c r="GY25" s="15">
        <v>0</v>
      </c>
      <c r="GZ25" s="15">
        <v>0</v>
      </c>
      <c r="HA25" s="45">
        <v>0</v>
      </c>
      <c r="HB25" s="45">
        <v>1</v>
      </c>
      <c r="HC25" s="45">
        <v>0</v>
      </c>
      <c r="HD25" s="45">
        <v>0</v>
      </c>
      <c r="HE25" s="15">
        <v>0</v>
      </c>
      <c r="HF25" s="15">
        <v>0</v>
      </c>
      <c r="HG25" s="45">
        <v>0</v>
      </c>
      <c r="HH25" s="45">
        <v>0</v>
      </c>
      <c r="HI25" s="45">
        <v>0</v>
      </c>
      <c r="HJ25" s="45">
        <v>0</v>
      </c>
      <c r="HK25" s="45">
        <v>0</v>
      </c>
      <c r="HL25" s="45">
        <v>0</v>
      </c>
      <c r="HM25" s="45"/>
      <c r="HN25" s="45">
        <v>0</v>
      </c>
      <c r="HO25" s="45">
        <v>1</v>
      </c>
      <c r="HP25" s="45">
        <v>0</v>
      </c>
      <c r="HQ25" s="45">
        <v>0</v>
      </c>
      <c r="HR25" s="45">
        <v>0</v>
      </c>
      <c r="HS25" s="45">
        <v>0</v>
      </c>
      <c r="HT25" s="45">
        <v>0</v>
      </c>
      <c r="HU25" s="45">
        <v>1</v>
      </c>
      <c r="HV25" s="45">
        <v>0</v>
      </c>
      <c r="HW25" s="45">
        <v>1</v>
      </c>
      <c r="HX25" s="45">
        <v>0</v>
      </c>
      <c r="HY25" s="44">
        <v>43465</v>
      </c>
      <c r="HZ25" s="45" t="s">
        <v>231</v>
      </c>
      <c r="IA25" s="45">
        <v>1</v>
      </c>
      <c r="IB25" s="45">
        <v>0</v>
      </c>
      <c r="IC25" s="45">
        <v>1</v>
      </c>
      <c r="ID25" s="45">
        <v>0</v>
      </c>
      <c r="IE25" s="45">
        <v>1</v>
      </c>
      <c r="IF25" s="45">
        <v>0</v>
      </c>
      <c r="IG25" s="45">
        <v>0</v>
      </c>
      <c r="IH25" s="45">
        <v>0</v>
      </c>
      <c r="II25" s="45">
        <v>0</v>
      </c>
      <c r="IJ25" s="45">
        <v>1</v>
      </c>
      <c r="IK25" s="45">
        <v>1</v>
      </c>
      <c r="IL25" s="45">
        <v>1</v>
      </c>
      <c r="IM25" s="45">
        <v>1</v>
      </c>
      <c r="IN25" s="45">
        <v>1</v>
      </c>
      <c r="IO25" s="45">
        <v>1</v>
      </c>
      <c r="IP25" s="45">
        <v>1</v>
      </c>
      <c r="IQ25" s="45">
        <v>1</v>
      </c>
      <c r="IR25" s="45">
        <v>0</v>
      </c>
      <c r="IS25" s="45">
        <v>0</v>
      </c>
      <c r="IT25" s="45">
        <v>0</v>
      </c>
      <c r="IU25" s="45">
        <v>1</v>
      </c>
      <c r="IV25" s="45">
        <v>0</v>
      </c>
      <c r="IW25" s="45">
        <v>1</v>
      </c>
      <c r="IX25" s="45">
        <v>0</v>
      </c>
      <c r="IY25" s="45">
        <v>1</v>
      </c>
      <c r="IZ25" s="45">
        <v>0</v>
      </c>
      <c r="JA25" s="45">
        <v>1</v>
      </c>
      <c r="JB25" s="45">
        <v>0</v>
      </c>
      <c r="JC25" s="45">
        <v>1</v>
      </c>
      <c r="JD25" s="45">
        <v>0</v>
      </c>
      <c r="JE25" s="45">
        <v>0</v>
      </c>
      <c r="JF25" s="45">
        <v>0</v>
      </c>
      <c r="JG25" s="15">
        <v>0</v>
      </c>
      <c r="JH25" s="15">
        <v>0</v>
      </c>
      <c r="JI25" s="45">
        <v>0</v>
      </c>
      <c r="JJ25" s="45">
        <v>1</v>
      </c>
      <c r="JK25" s="45">
        <v>0</v>
      </c>
      <c r="JL25" s="45">
        <v>0</v>
      </c>
      <c r="JM25" s="15">
        <v>0</v>
      </c>
      <c r="JN25" s="15">
        <v>0</v>
      </c>
      <c r="JO25" s="45">
        <v>0</v>
      </c>
      <c r="JP25" s="45">
        <v>0</v>
      </c>
      <c r="JQ25" s="45">
        <v>0</v>
      </c>
      <c r="JR25" s="45">
        <v>0</v>
      </c>
      <c r="JS25" s="45">
        <v>0</v>
      </c>
      <c r="JT25" s="45">
        <v>0</v>
      </c>
      <c r="JU25" s="45">
        <v>0</v>
      </c>
      <c r="JV25" s="45">
        <v>0</v>
      </c>
      <c r="JW25" s="45">
        <v>1</v>
      </c>
      <c r="JX25" s="45">
        <v>0</v>
      </c>
      <c r="JY25" s="45">
        <v>0</v>
      </c>
      <c r="JZ25" s="45">
        <v>0</v>
      </c>
      <c r="KA25" s="45">
        <v>0</v>
      </c>
      <c r="KB25" s="45">
        <v>0</v>
      </c>
      <c r="KC25" s="45">
        <v>1</v>
      </c>
      <c r="KD25" s="45">
        <v>0</v>
      </c>
      <c r="KE25" s="45">
        <v>1</v>
      </c>
      <c r="KF25" s="45">
        <v>0</v>
      </c>
      <c r="KG25"/>
      <c r="KH25"/>
      <c r="KI25">
        <v>1</v>
      </c>
      <c r="KJ25">
        <v>1</v>
      </c>
      <c r="KK25">
        <v>1</v>
      </c>
      <c r="KL25">
        <v>0</v>
      </c>
      <c r="KM25">
        <v>1</v>
      </c>
      <c r="KN25">
        <v>0</v>
      </c>
      <c r="KO25">
        <v>0</v>
      </c>
      <c r="KP25">
        <v>0</v>
      </c>
      <c r="KQ25">
        <v>0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0</v>
      </c>
      <c r="LA25">
        <v>0</v>
      </c>
      <c r="LB25">
        <v>0</v>
      </c>
      <c r="LC25">
        <v>1</v>
      </c>
      <c r="LD25">
        <v>0</v>
      </c>
      <c r="LE25">
        <v>1</v>
      </c>
      <c r="LF25">
        <v>0</v>
      </c>
      <c r="LG25">
        <v>1</v>
      </c>
      <c r="LH25">
        <v>0</v>
      </c>
      <c r="LI25">
        <v>1</v>
      </c>
      <c r="LJ25">
        <v>0</v>
      </c>
      <c r="LK25">
        <v>1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1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1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1</v>
      </c>
      <c r="ML25">
        <v>0</v>
      </c>
      <c r="MM25">
        <v>1</v>
      </c>
      <c r="MN25">
        <v>0</v>
      </c>
      <c r="MO25">
        <v>0</v>
      </c>
      <c r="MP25">
        <v>0</v>
      </c>
      <c r="MQ25">
        <f t="shared" si="10"/>
        <v>0</v>
      </c>
      <c r="MR25">
        <f t="shared" si="11"/>
        <v>0</v>
      </c>
    </row>
    <row r="26" spans="1:359" s="39" customFormat="1" ht="18" x14ac:dyDescent="0.25">
      <c r="A26" t="s">
        <v>418</v>
      </c>
      <c r="B26" s="40">
        <v>37</v>
      </c>
      <c r="C26" s="40">
        <v>0</v>
      </c>
      <c r="D26" s="40">
        <v>1</v>
      </c>
      <c r="E26" s="41">
        <v>43226</v>
      </c>
      <c r="F26" s="61">
        <v>0</v>
      </c>
      <c r="G26" s="61"/>
      <c r="H26" s="58">
        <v>1</v>
      </c>
      <c r="I26" s="57">
        <v>1</v>
      </c>
      <c r="J26" s="58">
        <v>1</v>
      </c>
      <c r="K26" s="40" t="s">
        <v>21</v>
      </c>
      <c r="L26" s="65">
        <v>2</v>
      </c>
      <c r="M26" s="42">
        <v>43369</v>
      </c>
      <c r="N26" s="40">
        <v>0</v>
      </c>
      <c r="O26" s="42">
        <v>45040</v>
      </c>
      <c r="P26" s="64">
        <f t="shared" si="0"/>
        <v>1814</v>
      </c>
      <c r="Q26" s="39">
        <v>3</v>
      </c>
      <c r="R26" s="39">
        <v>0</v>
      </c>
      <c r="S26" s="39">
        <v>0</v>
      </c>
      <c r="T26" s="39">
        <v>91</v>
      </c>
      <c r="U26" s="39">
        <v>0</v>
      </c>
      <c r="V26" s="39">
        <v>0</v>
      </c>
      <c r="W26" s="39">
        <v>0</v>
      </c>
      <c r="X26" s="39">
        <v>0</v>
      </c>
      <c r="Y26" s="39">
        <v>0</v>
      </c>
      <c r="Z26" s="39">
        <v>0</v>
      </c>
      <c r="AA26" s="39">
        <v>0</v>
      </c>
      <c r="AB26" s="39">
        <v>0</v>
      </c>
      <c r="AC26" s="39">
        <v>0</v>
      </c>
      <c r="AD26" s="39">
        <v>0</v>
      </c>
      <c r="AE26" s="39">
        <v>0</v>
      </c>
      <c r="AF26" s="39">
        <v>0</v>
      </c>
      <c r="AG26" s="39">
        <v>0</v>
      </c>
      <c r="AH26" s="39">
        <v>0</v>
      </c>
      <c r="AI26" s="39">
        <v>0</v>
      </c>
      <c r="AJ26" s="39">
        <v>0</v>
      </c>
      <c r="AK26" s="39">
        <v>0</v>
      </c>
      <c r="AL26" s="39">
        <v>0</v>
      </c>
      <c r="AM26" s="39">
        <v>0</v>
      </c>
      <c r="AN26" s="39">
        <v>100</v>
      </c>
      <c r="AO26" s="39">
        <v>190</v>
      </c>
      <c r="AP26" s="39">
        <v>27.7</v>
      </c>
      <c r="AQ26" s="39">
        <v>38.5</v>
      </c>
      <c r="AR26" s="39">
        <v>96</v>
      </c>
      <c r="AS26" s="39">
        <v>55</v>
      </c>
      <c r="AT26" s="39">
        <v>3</v>
      </c>
      <c r="AU26">
        <v>1</v>
      </c>
      <c r="AV26" s="39">
        <v>38</v>
      </c>
      <c r="AW26" s="43">
        <v>43226</v>
      </c>
      <c r="AX26" s="43">
        <v>43226</v>
      </c>
      <c r="AY26" s="39">
        <v>0</v>
      </c>
      <c r="AZ26" s="43">
        <v>43225</v>
      </c>
      <c r="BA26" s="39">
        <v>1</v>
      </c>
      <c r="BB26" s="39">
        <v>1</v>
      </c>
      <c r="BC26" s="39">
        <v>0</v>
      </c>
      <c r="BD26" s="39">
        <v>0</v>
      </c>
      <c r="BE26" s="39">
        <v>0</v>
      </c>
      <c r="BF26" s="39">
        <v>0</v>
      </c>
      <c r="BG26" s="39">
        <v>0</v>
      </c>
      <c r="BH26" s="39">
        <v>1</v>
      </c>
      <c r="BI26" s="39">
        <v>1</v>
      </c>
      <c r="BJ26">
        <v>0</v>
      </c>
      <c r="BK26">
        <v>0</v>
      </c>
      <c r="BL26">
        <v>0</v>
      </c>
      <c r="BM26" s="66">
        <v>1</v>
      </c>
      <c r="BN26" s="39">
        <v>2</v>
      </c>
      <c r="BO26">
        <v>0</v>
      </c>
      <c r="BP26" s="66">
        <f t="shared" si="12"/>
        <v>3</v>
      </c>
      <c r="BQ26" s="39">
        <v>1</v>
      </c>
      <c r="BR26">
        <v>0</v>
      </c>
      <c r="BS26">
        <v>3</v>
      </c>
      <c r="BT26">
        <v>0</v>
      </c>
      <c r="BU26" s="66">
        <f t="shared" si="13"/>
        <v>1</v>
      </c>
      <c r="BV26" s="39">
        <v>2</v>
      </c>
      <c r="BW26">
        <v>0</v>
      </c>
      <c r="BX26" s="66">
        <f t="shared" si="3"/>
        <v>6</v>
      </c>
      <c r="BY26" s="39">
        <v>1</v>
      </c>
      <c r="BZ26">
        <v>1</v>
      </c>
      <c r="CA26" s="39">
        <v>1</v>
      </c>
      <c r="CB26" s="39">
        <v>1</v>
      </c>
      <c r="CC26" s="39">
        <v>4</v>
      </c>
      <c r="CD26" s="39">
        <v>0</v>
      </c>
      <c r="CE26" s="39">
        <v>0</v>
      </c>
      <c r="CF26" s="39">
        <v>0</v>
      </c>
      <c r="CG26" s="39">
        <v>0</v>
      </c>
      <c r="CH26" s="39">
        <v>0</v>
      </c>
      <c r="CI26" s="39">
        <v>0</v>
      </c>
      <c r="CJ26" s="39">
        <v>0</v>
      </c>
      <c r="CK26" s="39">
        <v>0</v>
      </c>
      <c r="CL26" s="39">
        <v>0</v>
      </c>
      <c r="CM26" s="39">
        <v>0</v>
      </c>
      <c r="CN26" s="39">
        <v>0</v>
      </c>
      <c r="CO26">
        <f t="shared" si="7"/>
        <v>0</v>
      </c>
      <c r="CP26" s="39">
        <v>0</v>
      </c>
      <c r="CQ26" s="39">
        <v>0</v>
      </c>
      <c r="CR26" s="39">
        <v>0</v>
      </c>
      <c r="CS26" s="39">
        <v>0</v>
      </c>
      <c r="CT26" s="39">
        <v>0</v>
      </c>
      <c r="CU26" s="39">
        <v>0</v>
      </c>
      <c r="CV26" s="39">
        <v>0</v>
      </c>
      <c r="CW26" s="31"/>
      <c r="DA26" s="43">
        <v>43227</v>
      </c>
      <c r="DB26" s="66">
        <f t="shared" si="5"/>
        <v>2</v>
      </c>
      <c r="DC26" s="39" t="s">
        <v>3</v>
      </c>
      <c r="DD26" s="39">
        <v>1</v>
      </c>
      <c r="DE26" s="43">
        <v>43232</v>
      </c>
      <c r="DF26" s="39">
        <v>6</v>
      </c>
      <c r="DG26" s="43">
        <v>43318</v>
      </c>
      <c r="DH26" s="39">
        <v>14.4</v>
      </c>
      <c r="DI26" s="43"/>
      <c r="DK26" s="80">
        <v>108</v>
      </c>
      <c r="DR26" s="39">
        <v>263</v>
      </c>
      <c r="DW26" s="43">
        <v>43225</v>
      </c>
      <c r="DX26" s="51">
        <v>8.0079999999999991</v>
      </c>
      <c r="DY26" s="51">
        <v>12.5</v>
      </c>
      <c r="DZ26">
        <v>1</v>
      </c>
      <c r="EA26" s="39">
        <v>12.5</v>
      </c>
      <c r="EB26">
        <v>0</v>
      </c>
      <c r="ED26"/>
      <c r="EE26"/>
      <c r="EH26" s="39">
        <v>47</v>
      </c>
      <c r="EI26" s="62">
        <v>1.4893617021276599</v>
      </c>
      <c r="EJ26" s="39">
        <v>70</v>
      </c>
      <c r="EK26">
        <v>0</v>
      </c>
      <c r="EL26">
        <f t="shared" si="6"/>
        <v>23</v>
      </c>
      <c r="EM26" s="39">
        <v>70</v>
      </c>
      <c r="EN26">
        <v>0</v>
      </c>
      <c r="FA26" s="39">
        <v>7.23</v>
      </c>
      <c r="FC26" s="39">
        <v>1</v>
      </c>
      <c r="FD26" s="39">
        <v>0</v>
      </c>
      <c r="FF26" s="39">
        <v>1</v>
      </c>
      <c r="FG26">
        <v>0</v>
      </c>
      <c r="FK26" s="39">
        <v>0</v>
      </c>
      <c r="FL26">
        <v>1</v>
      </c>
      <c r="FM26" s="39">
        <v>130</v>
      </c>
      <c r="FN26" s="39">
        <v>100</v>
      </c>
      <c r="FO26">
        <v>0</v>
      </c>
      <c r="FQ26" s="44">
        <v>43226</v>
      </c>
      <c r="FR26" s="44" t="s">
        <v>230</v>
      </c>
      <c r="FS26" s="45">
        <v>1</v>
      </c>
      <c r="FT26" s="45">
        <v>0</v>
      </c>
      <c r="FU26" s="45">
        <v>0</v>
      </c>
      <c r="FV26" s="45">
        <v>0</v>
      </c>
      <c r="FW26" s="45">
        <v>1</v>
      </c>
      <c r="FX26" s="45"/>
      <c r="FY26" s="45"/>
      <c r="FZ26" s="45"/>
      <c r="GA26" s="45"/>
      <c r="GB26" s="45"/>
      <c r="GC26" s="45"/>
      <c r="GD26" s="45"/>
      <c r="GE26" s="45"/>
      <c r="GF26" s="45"/>
      <c r="GG26" s="45"/>
      <c r="GH26" s="45"/>
      <c r="GI26" s="45"/>
      <c r="GJ26" s="45"/>
      <c r="GK26" s="45"/>
      <c r="GL26" s="45"/>
      <c r="GM26" s="45"/>
      <c r="GN26" s="45"/>
      <c r="GO26" s="45"/>
      <c r="GP26" s="45"/>
      <c r="GQ26" s="45"/>
      <c r="GR26" s="45"/>
      <c r="GS26" s="45"/>
      <c r="GT26" s="45"/>
      <c r="GU26" s="45"/>
      <c r="GV26" s="45">
        <v>0</v>
      </c>
      <c r="GW26" s="45">
        <v>0</v>
      </c>
      <c r="GX26" s="45">
        <v>0</v>
      </c>
      <c r="GY26" s="15">
        <v>0</v>
      </c>
      <c r="GZ26" s="15">
        <v>0</v>
      </c>
      <c r="HA26" s="45"/>
      <c r="HB26" s="45"/>
      <c r="HC26" s="45">
        <v>0</v>
      </c>
      <c r="HD26" s="45"/>
      <c r="HE26" s="45"/>
      <c r="HF26" s="45"/>
      <c r="HG26" s="45"/>
      <c r="HH26" s="45">
        <v>1</v>
      </c>
      <c r="HI26" s="45">
        <v>1</v>
      </c>
      <c r="HJ26" s="45"/>
      <c r="HK26" s="45"/>
      <c r="HL26" s="45"/>
      <c r="HM26" s="45">
        <v>0</v>
      </c>
      <c r="HN26" s="45"/>
      <c r="HO26" s="45">
        <v>1</v>
      </c>
      <c r="HP26" s="45">
        <v>0</v>
      </c>
      <c r="HQ26" s="45">
        <v>0</v>
      </c>
      <c r="HR26" s="45">
        <v>0</v>
      </c>
      <c r="HS26" s="45">
        <v>0</v>
      </c>
      <c r="HT26" s="45">
        <v>1</v>
      </c>
      <c r="HU26" s="45">
        <v>1</v>
      </c>
      <c r="HV26" s="45">
        <v>0</v>
      </c>
      <c r="HW26" s="45">
        <v>0</v>
      </c>
      <c r="HX26" s="45">
        <v>0</v>
      </c>
      <c r="HY26" s="45"/>
      <c r="HZ26" s="45"/>
      <c r="IA26" s="45"/>
      <c r="IB26" s="45"/>
      <c r="IC26" s="45"/>
      <c r="ID26" s="45"/>
      <c r="IE26" s="45"/>
      <c r="IF26" s="45"/>
      <c r="IG26" s="45"/>
      <c r="IH26" s="45"/>
      <c r="II26" s="45"/>
      <c r="IJ26" s="45"/>
      <c r="IK26" s="45"/>
      <c r="IL26" s="45"/>
      <c r="IM26" s="45"/>
      <c r="IN26" s="45"/>
      <c r="IO26" s="45"/>
      <c r="IP26" s="45"/>
      <c r="IQ26" s="45"/>
      <c r="IR26" s="45"/>
      <c r="IS26" s="45"/>
      <c r="IT26" s="45"/>
      <c r="IU26" s="45"/>
      <c r="IV26" s="45"/>
      <c r="IW26" s="45"/>
      <c r="IX26" s="45"/>
      <c r="IY26" s="45"/>
      <c r="IZ26" s="45"/>
      <c r="JA26" s="45"/>
      <c r="JB26" s="45"/>
      <c r="JC26" s="45"/>
      <c r="JD26" s="45"/>
      <c r="JE26" s="45"/>
      <c r="JF26" s="45"/>
      <c r="JG26" s="45"/>
      <c r="JH26" s="45"/>
      <c r="JI26" s="45"/>
      <c r="JJ26" s="45"/>
      <c r="JK26" s="45"/>
      <c r="JL26" s="45"/>
      <c r="JM26" s="45"/>
      <c r="JN26" s="45"/>
      <c r="JO26" s="45"/>
      <c r="JP26" s="45"/>
      <c r="JQ26" s="45"/>
      <c r="JR26" s="45"/>
      <c r="JS26" s="45"/>
      <c r="JT26" s="45"/>
      <c r="JU26" s="45"/>
      <c r="JV26" s="45"/>
      <c r="JW26" s="45"/>
      <c r="JX26" s="45"/>
      <c r="JY26" s="45"/>
      <c r="JZ26" s="45"/>
      <c r="KA26" s="45"/>
      <c r="KB26" s="45"/>
      <c r="KC26" s="45"/>
      <c r="KD26" s="45"/>
      <c r="KE26" s="45"/>
      <c r="KF26" s="45"/>
      <c r="KG26"/>
      <c r="KH26"/>
      <c r="KI26">
        <v>1</v>
      </c>
      <c r="KJ26">
        <v>0</v>
      </c>
      <c r="KK26">
        <v>0</v>
      </c>
      <c r="KL26">
        <v>0</v>
      </c>
      <c r="KM26">
        <v>1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1</v>
      </c>
      <c r="LY26">
        <v>1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1</v>
      </c>
      <c r="MF26">
        <v>0</v>
      </c>
      <c r="MG26">
        <v>0</v>
      </c>
      <c r="MH26">
        <v>0</v>
      </c>
      <c r="MI26">
        <v>0</v>
      </c>
      <c r="MJ26">
        <v>1</v>
      </c>
      <c r="MK26">
        <v>1</v>
      </c>
      <c r="ML26">
        <v>0</v>
      </c>
      <c r="MM26">
        <v>0</v>
      </c>
      <c r="MN26">
        <v>0</v>
      </c>
      <c r="MO26">
        <v>0</v>
      </c>
      <c r="MP26">
        <v>0</v>
      </c>
      <c r="MQ26">
        <f t="shared" si="10"/>
        <v>0</v>
      </c>
      <c r="MR26">
        <f t="shared" si="11"/>
        <v>0</v>
      </c>
    </row>
    <row r="27" spans="1:359" ht="18" x14ac:dyDescent="0.25">
      <c r="A27" t="s">
        <v>419</v>
      </c>
      <c r="B27" s="3">
        <v>73</v>
      </c>
      <c r="C27" s="3">
        <v>0</v>
      </c>
      <c r="D27" s="3">
        <v>0</v>
      </c>
      <c r="E27" s="3"/>
      <c r="F27" s="55">
        <v>295</v>
      </c>
      <c r="G27" s="55"/>
      <c r="H27" s="57">
        <v>0</v>
      </c>
      <c r="I27" s="57">
        <v>0</v>
      </c>
      <c r="J27" s="57"/>
      <c r="K27" s="3"/>
      <c r="L27" s="3"/>
      <c r="M27" s="3"/>
      <c r="N27" s="3">
        <v>0</v>
      </c>
      <c r="O27" s="2">
        <v>45030</v>
      </c>
      <c r="P27" s="64">
        <f t="shared" si="0"/>
        <v>295</v>
      </c>
      <c r="Q27">
        <v>3</v>
      </c>
      <c r="R27">
        <v>1</v>
      </c>
      <c r="S27">
        <v>1</v>
      </c>
      <c r="T27">
        <v>92</v>
      </c>
      <c r="U27">
        <v>0</v>
      </c>
      <c r="V27">
        <v>1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103</v>
      </c>
      <c r="AO27">
        <v>175</v>
      </c>
      <c r="AP27">
        <v>33.6</v>
      </c>
      <c r="AQ27">
        <v>38.9</v>
      </c>
      <c r="AR27">
        <v>120</v>
      </c>
      <c r="AS27">
        <v>66</v>
      </c>
      <c r="AV27">
        <v>77</v>
      </c>
      <c r="AW27" s="1">
        <v>44735</v>
      </c>
      <c r="AX27" s="1">
        <v>44735</v>
      </c>
      <c r="AY27">
        <v>0</v>
      </c>
      <c r="AZ27" s="1">
        <v>44735</v>
      </c>
      <c r="BA27">
        <v>1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1</v>
      </c>
      <c r="BJ27">
        <v>0</v>
      </c>
      <c r="BK27">
        <v>0</v>
      </c>
      <c r="BL27">
        <v>0</v>
      </c>
      <c r="BM27" s="66">
        <v>1</v>
      </c>
      <c r="BN27">
        <v>0</v>
      </c>
      <c r="BO27">
        <v>0</v>
      </c>
      <c r="BP27" s="66">
        <f t="shared" si="12"/>
        <v>1</v>
      </c>
      <c r="BQ27">
        <v>0</v>
      </c>
      <c r="BR27">
        <v>0</v>
      </c>
      <c r="BS27">
        <v>0</v>
      </c>
      <c r="BT27">
        <v>0</v>
      </c>
      <c r="BU27" s="66">
        <f t="shared" si="13"/>
        <v>1</v>
      </c>
      <c r="BV27">
        <v>0</v>
      </c>
      <c r="BW27">
        <v>0</v>
      </c>
      <c r="BX27" s="66">
        <f t="shared" si="3"/>
        <v>1</v>
      </c>
      <c r="BY27">
        <v>0</v>
      </c>
      <c r="BZ27">
        <f t="shared" si="4"/>
        <v>0</v>
      </c>
      <c r="CA27">
        <v>1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f t="shared" si="7"/>
        <v>0</v>
      </c>
      <c r="CP27">
        <v>1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</v>
      </c>
      <c r="DA27" s="1">
        <v>44742</v>
      </c>
      <c r="DB27" s="66">
        <f t="shared" si="5"/>
        <v>7</v>
      </c>
      <c r="DC27" t="s">
        <v>1</v>
      </c>
      <c r="DD27">
        <v>1</v>
      </c>
      <c r="DE27" s="1">
        <v>44747</v>
      </c>
      <c r="DF27">
        <v>6</v>
      </c>
      <c r="DG27" s="1">
        <v>44735</v>
      </c>
      <c r="DH27">
        <v>12</v>
      </c>
      <c r="DI27">
        <v>7.8</v>
      </c>
      <c r="DJ27">
        <v>0.7</v>
      </c>
      <c r="DK27" s="66">
        <v>111</v>
      </c>
      <c r="DL27">
        <v>8</v>
      </c>
      <c r="DM27">
        <v>59</v>
      </c>
      <c r="DN27">
        <v>2912</v>
      </c>
      <c r="DO27">
        <v>2</v>
      </c>
      <c r="DP27">
        <v>111</v>
      </c>
      <c r="DQ27">
        <v>2912</v>
      </c>
      <c r="DR27">
        <v>86</v>
      </c>
      <c r="DS27">
        <v>4.5999999999999996</v>
      </c>
      <c r="DT27">
        <v>304</v>
      </c>
      <c r="DU27">
        <v>110</v>
      </c>
      <c r="DW27" s="1">
        <v>44735</v>
      </c>
      <c r="DX27">
        <v>9</v>
      </c>
      <c r="DY27">
        <v>12</v>
      </c>
      <c r="DZ27">
        <v>0</v>
      </c>
      <c r="EA27">
        <v>12</v>
      </c>
      <c r="EB27">
        <v>0</v>
      </c>
      <c r="EC27">
        <v>2.1</v>
      </c>
      <c r="ED27">
        <v>2.5</v>
      </c>
      <c r="EE27">
        <v>1</v>
      </c>
      <c r="EF27">
        <v>2.5</v>
      </c>
      <c r="EG27">
        <v>1</v>
      </c>
      <c r="EH27">
        <v>349</v>
      </c>
      <c r="EI27" s="62">
        <v>0.69914040114613196</v>
      </c>
      <c r="EJ27">
        <v>244</v>
      </c>
      <c r="EK27" s="39">
        <v>1</v>
      </c>
      <c r="EL27">
        <f t="shared" si="6"/>
        <v>-105</v>
      </c>
      <c r="EM27">
        <v>349</v>
      </c>
      <c r="EN27" s="39">
        <v>1</v>
      </c>
      <c r="EO27">
        <v>11</v>
      </c>
      <c r="ER27">
        <v>24</v>
      </c>
      <c r="ES27">
        <v>22</v>
      </c>
      <c r="ET27">
        <v>35</v>
      </c>
      <c r="EU27">
        <v>32</v>
      </c>
      <c r="EV27">
        <v>214</v>
      </c>
      <c r="EW27">
        <v>153</v>
      </c>
      <c r="EX27">
        <v>32</v>
      </c>
      <c r="EY27">
        <v>24</v>
      </c>
      <c r="FA27">
        <v>7.4</v>
      </c>
      <c r="FB27">
        <v>1</v>
      </c>
      <c r="FC27">
        <v>1</v>
      </c>
      <c r="FD27">
        <v>1</v>
      </c>
      <c r="FE27" s="39" t="e">
        <f>#REF!</f>
        <v>#REF!</v>
      </c>
      <c r="FF27">
        <v>1</v>
      </c>
      <c r="FG27">
        <v>1</v>
      </c>
      <c r="FH27" s="1">
        <v>44735</v>
      </c>
      <c r="FI27" s="1"/>
      <c r="FJ27" s="1"/>
      <c r="FK27">
        <v>0</v>
      </c>
      <c r="FL27">
        <v>0</v>
      </c>
      <c r="FO27">
        <v>0</v>
      </c>
      <c r="FQ27" s="22">
        <v>44735</v>
      </c>
      <c r="FR27" s="22" t="s">
        <v>231</v>
      </c>
      <c r="FS27" s="15">
        <v>1</v>
      </c>
      <c r="FT27" s="15">
        <v>1</v>
      </c>
      <c r="FU27" s="15">
        <v>1</v>
      </c>
      <c r="FV27" s="15">
        <v>0</v>
      </c>
      <c r="FW27" s="15">
        <v>1</v>
      </c>
      <c r="FX27" s="15">
        <v>0</v>
      </c>
      <c r="FY27" s="15">
        <v>0</v>
      </c>
      <c r="FZ27" s="15">
        <v>0</v>
      </c>
      <c r="GA27" s="15">
        <v>1</v>
      </c>
      <c r="GB27" s="15">
        <v>1</v>
      </c>
      <c r="GC27" s="15">
        <v>1</v>
      </c>
      <c r="GD27" s="15">
        <v>1</v>
      </c>
      <c r="GE27" s="15">
        <v>0</v>
      </c>
      <c r="GF27" s="15">
        <v>0</v>
      </c>
      <c r="GG27" s="15">
        <v>0</v>
      </c>
      <c r="GH27" s="15">
        <v>0</v>
      </c>
      <c r="GI27" s="15">
        <v>1</v>
      </c>
      <c r="GJ27" s="15">
        <v>0</v>
      </c>
      <c r="GK27" s="15">
        <v>0</v>
      </c>
      <c r="GL27" s="15">
        <v>1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1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1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1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1</v>
      </c>
      <c r="HP27" s="15">
        <v>1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22">
        <v>44739</v>
      </c>
      <c r="HZ27" s="15" t="s">
        <v>231</v>
      </c>
      <c r="IA27" s="15">
        <v>1</v>
      </c>
      <c r="IB27" s="15">
        <v>1</v>
      </c>
      <c r="IC27" s="15">
        <v>1</v>
      </c>
      <c r="ID27" s="15">
        <v>0</v>
      </c>
      <c r="IE27" s="15">
        <v>1</v>
      </c>
      <c r="IF27" s="15">
        <v>0</v>
      </c>
      <c r="IG27" s="15">
        <v>0</v>
      </c>
      <c r="IH27" s="15">
        <v>0</v>
      </c>
      <c r="II27" s="15">
        <v>1</v>
      </c>
      <c r="IJ27" s="15">
        <v>1</v>
      </c>
      <c r="IK27" s="15">
        <v>1</v>
      </c>
      <c r="IL27" s="15">
        <v>1</v>
      </c>
      <c r="IM27" s="15">
        <v>0</v>
      </c>
      <c r="IN27" s="15">
        <v>0</v>
      </c>
      <c r="IO27" s="15">
        <v>0</v>
      </c>
      <c r="IP27" s="15">
        <v>0</v>
      </c>
      <c r="IQ27" s="15">
        <v>1</v>
      </c>
      <c r="IR27" s="15">
        <v>0</v>
      </c>
      <c r="IS27" s="15">
        <v>0</v>
      </c>
      <c r="IT27" s="15">
        <v>1</v>
      </c>
      <c r="IU27" s="15">
        <v>0</v>
      </c>
      <c r="IV27" s="15">
        <v>0</v>
      </c>
      <c r="IW27" s="15">
        <v>0</v>
      </c>
      <c r="IX27" s="15">
        <v>0</v>
      </c>
      <c r="IY27" s="15">
        <v>0</v>
      </c>
      <c r="IZ27" s="15">
        <v>0</v>
      </c>
      <c r="JA27" s="15">
        <v>0</v>
      </c>
      <c r="JB27" s="15">
        <v>0</v>
      </c>
      <c r="JC27" s="15">
        <v>1</v>
      </c>
      <c r="JD27" s="15">
        <v>0</v>
      </c>
      <c r="JE27" s="15">
        <v>0</v>
      </c>
      <c r="JF27" s="15">
        <v>0</v>
      </c>
      <c r="JG27" s="15">
        <v>0</v>
      </c>
      <c r="JH27" s="15">
        <v>0</v>
      </c>
      <c r="JI27" s="15">
        <v>0</v>
      </c>
      <c r="JJ27" s="15">
        <v>1</v>
      </c>
      <c r="JK27" s="15">
        <v>0</v>
      </c>
      <c r="JL27" s="15">
        <v>0</v>
      </c>
      <c r="JM27" s="15">
        <v>0</v>
      </c>
      <c r="JN27" s="15">
        <v>0</v>
      </c>
      <c r="JO27" s="15">
        <v>0</v>
      </c>
      <c r="JP27" s="15">
        <v>0</v>
      </c>
      <c r="JQ27" s="15">
        <v>1</v>
      </c>
      <c r="JR27" s="15">
        <v>0</v>
      </c>
      <c r="JS27" s="15">
        <v>0</v>
      </c>
      <c r="JT27" s="15">
        <v>0</v>
      </c>
      <c r="JU27" s="15">
        <v>0</v>
      </c>
      <c r="JV27" s="15">
        <v>0</v>
      </c>
      <c r="JW27" s="15">
        <v>1</v>
      </c>
      <c r="JX27" s="15">
        <v>1</v>
      </c>
      <c r="JY27" s="15">
        <v>0</v>
      </c>
      <c r="JZ27" s="15">
        <v>0</v>
      </c>
      <c r="KA27" s="15">
        <v>0</v>
      </c>
      <c r="KB27" s="15">
        <v>0</v>
      </c>
      <c r="KC27" s="15">
        <v>0</v>
      </c>
      <c r="KD27" s="15">
        <v>0</v>
      </c>
      <c r="KE27" s="15">
        <v>0</v>
      </c>
      <c r="KF27" s="15">
        <v>0</v>
      </c>
      <c r="KI27">
        <v>1</v>
      </c>
      <c r="KJ27">
        <v>1</v>
      </c>
      <c r="KK27">
        <v>1</v>
      </c>
      <c r="KL27">
        <v>0</v>
      </c>
      <c r="KM27">
        <v>1</v>
      </c>
      <c r="KN27">
        <v>0</v>
      </c>
      <c r="KO27">
        <v>0</v>
      </c>
      <c r="KP27">
        <v>0</v>
      </c>
      <c r="KQ27">
        <v>1</v>
      </c>
      <c r="KR27">
        <v>1</v>
      </c>
      <c r="KS27">
        <v>1</v>
      </c>
      <c r="KT27">
        <v>1</v>
      </c>
      <c r="KU27">
        <v>0</v>
      </c>
      <c r="KV27">
        <v>0</v>
      </c>
      <c r="KW27">
        <v>0</v>
      </c>
      <c r="KX27">
        <v>0</v>
      </c>
      <c r="KY27">
        <v>1</v>
      </c>
      <c r="KZ27">
        <v>0</v>
      </c>
      <c r="LA27">
        <v>0</v>
      </c>
      <c r="LB27">
        <v>1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1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1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1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1</v>
      </c>
      <c r="MF27">
        <v>1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f t="shared" si="10"/>
        <v>0</v>
      </c>
      <c r="MR27">
        <f t="shared" si="11"/>
        <v>0</v>
      </c>
    </row>
    <row r="28" spans="1:359" s="39" customFormat="1" ht="18" x14ac:dyDescent="0.25">
      <c r="A28" t="s">
        <v>420</v>
      </c>
      <c r="B28" s="40">
        <v>65</v>
      </c>
      <c r="C28" s="40">
        <v>0</v>
      </c>
      <c r="D28" s="40">
        <v>1</v>
      </c>
      <c r="E28" s="41">
        <v>43306</v>
      </c>
      <c r="F28" s="61">
        <v>1</v>
      </c>
      <c r="G28" s="61"/>
      <c r="H28" s="58">
        <v>0</v>
      </c>
      <c r="I28" s="58"/>
      <c r="J28" s="58"/>
      <c r="K28" s="42">
        <v>43306</v>
      </c>
      <c r="L28" s="65">
        <v>1</v>
      </c>
      <c r="M28" s="42">
        <v>43391</v>
      </c>
      <c r="N28" s="40">
        <v>0</v>
      </c>
      <c r="O28" s="42">
        <v>44103</v>
      </c>
      <c r="P28" s="64">
        <f t="shared" si="0"/>
        <v>798</v>
      </c>
      <c r="Q28" s="39">
        <v>1</v>
      </c>
      <c r="R28" s="39">
        <v>1</v>
      </c>
      <c r="S28" s="39">
        <v>1</v>
      </c>
      <c r="T28" s="39">
        <v>75</v>
      </c>
      <c r="U28" s="39">
        <v>1</v>
      </c>
      <c r="V28" s="39">
        <v>0</v>
      </c>
      <c r="W28" s="39">
        <v>0</v>
      </c>
      <c r="X28" s="39">
        <v>0</v>
      </c>
      <c r="Y28" s="39">
        <v>0</v>
      </c>
      <c r="Z28" s="39">
        <v>0</v>
      </c>
      <c r="AA28" s="39">
        <v>0</v>
      </c>
      <c r="AB28" s="39">
        <v>0</v>
      </c>
      <c r="AC28" s="39">
        <v>0</v>
      </c>
      <c r="AD28" s="39">
        <v>0</v>
      </c>
      <c r="AE28" s="39">
        <v>0</v>
      </c>
      <c r="AF28" s="39">
        <v>0</v>
      </c>
      <c r="AG28" s="39">
        <v>0</v>
      </c>
      <c r="AH28" s="39">
        <v>0</v>
      </c>
      <c r="AI28" s="39">
        <v>0</v>
      </c>
      <c r="AJ28" s="39">
        <v>0</v>
      </c>
      <c r="AK28" s="39">
        <v>0</v>
      </c>
      <c r="AL28" s="39">
        <v>0</v>
      </c>
      <c r="AM28" s="39">
        <v>0</v>
      </c>
      <c r="AN28" s="39">
        <v>88</v>
      </c>
      <c r="AO28" s="39">
        <v>183</v>
      </c>
      <c r="AP28" s="39">
        <v>26.3</v>
      </c>
      <c r="AQ28" s="39">
        <v>36</v>
      </c>
      <c r="AR28" s="39">
        <v>122</v>
      </c>
      <c r="AS28" s="39">
        <v>83</v>
      </c>
      <c r="AT28" s="39">
        <v>2</v>
      </c>
      <c r="AU28">
        <v>0</v>
      </c>
      <c r="AV28" s="39">
        <v>42</v>
      </c>
      <c r="AW28" s="43">
        <v>43305</v>
      </c>
      <c r="AX28" s="43">
        <v>43305</v>
      </c>
      <c r="AY28" s="39">
        <v>0</v>
      </c>
      <c r="AZ28" s="43">
        <v>43303</v>
      </c>
      <c r="BA28" s="39">
        <v>1</v>
      </c>
      <c r="BB28" s="39">
        <v>1</v>
      </c>
      <c r="BC28" s="39">
        <v>0</v>
      </c>
      <c r="BD28" s="39">
        <v>0</v>
      </c>
      <c r="BE28" s="39">
        <v>0</v>
      </c>
      <c r="BF28" s="39">
        <v>0</v>
      </c>
      <c r="BG28" s="39">
        <v>0</v>
      </c>
      <c r="BH28" s="39">
        <v>1</v>
      </c>
      <c r="BI28" s="39">
        <v>1</v>
      </c>
      <c r="BJ28" s="39">
        <v>3</v>
      </c>
      <c r="BK28">
        <v>0</v>
      </c>
      <c r="BL28">
        <v>0</v>
      </c>
      <c r="BM28" s="66">
        <v>0</v>
      </c>
      <c r="BN28" s="39">
        <v>1</v>
      </c>
      <c r="BO28">
        <v>0</v>
      </c>
      <c r="BP28" s="66">
        <f t="shared" si="12"/>
        <v>4</v>
      </c>
      <c r="BQ28" s="39">
        <v>1</v>
      </c>
      <c r="BR28" s="39">
        <v>3</v>
      </c>
      <c r="BS28">
        <v>3</v>
      </c>
      <c r="BT28">
        <v>0</v>
      </c>
      <c r="BU28" s="66">
        <f t="shared" si="13"/>
        <v>0</v>
      </c>
      <c r="BV28" s="39">
        <v>1</v>
      </c>
      <c r="BW28">
        <v>0</v>
      </c>
      <c r="BX28" s="66">
        <f t="shared" si="3"/>
        <v>7</v>
      </c>
      <c r="BY28" s="39">
        <v>1</v>
      </c>
      <c r="BZ28">
        <v>1</v>
      </c>
      <c r="CA28" s="39">
        <v>1</v>
      </c>
      <c r="CB28" s="39">
        <v>1</v>
      </c>
      <c r="CD28" s="39">
        <v>1</v>
      </c>
      <c r="CE28" s="39">
        <v>0</v>
      </c>
      <c r="CF28" s="39">
        <v>0</v>
      </c>
      <c r="CG28" s="39">
        <v>0</v>
      </c>
      <c r="CH28" s="39">
        <v>0</v>
      </c>
      <c r="CJ28" s="39">
        <v>0</v>
      </c>
      <c r="CK28" s="39">
        <v>0</v>
      </c>
      <c r="CL28" s="39">
        <v>0</v>
      </c>
      <c r="CM28" s="39">
        <v>0</v>
      </c>
      <c r="CN28" s="39">
        <v>0</v>
      </c>
      <c r="CO28">
        <f t="shared" si="7"/>
        <v>0</v>
      </c>
      <c r="CP28" s="39">
        <v>0</v>
      </c>
      <c r="CQ28" s="39">
        <v>0</v>
      </c>
      <c r="CR28" s="39">
        <v>0</v>
      </c>
      <c r="CS28" s="39">
        <v>0</v>
      </c>
      <c r="CT28" s="39">
        <v>0</v>
      </c>
      <c r="CU28" s="39">
        <v>0</v>
      </c>
      <c r="CV28" s="39">
        <v>0</v>
      </c>
      <c r="CW28" s="31"/>
      <c r="CY28">
        <v>0</v>
      </c>
      <c r="DA28" s="43">
        <v>43305</v>
      </c>
      <c r="DB28" s="66">
        <f t="shared" si="5"/>
        <v>2</v>
      </c>
      <c r="DC28" s="39" t="s">
        <v>3</v>
      </c>
      <c r="DD28" s="39">
        <v>1</v>
      </c>
      <c r="DE28" s="43">
        <v>43311</v>
      </c>
      <c r="DF28" s="39">
        <v>7</v>
      </c>
      <c r="DG28" s="43">
        <v>43305</v>
      </c>
      <c r="DH28" s="39">
        <v>18</v>
      </c>
      <c r="DI28" s="39">
        <v>10</v>
      </c>
      <c r="DJ28" s="39">
        <v>1.9</v>
      </c>
      <c r="DK28" s="80">
        <v>196</v>
      </c>
      <c r="DO28" s="39">
        <v>2</v>
      </c>
      <c r="DP28" s="39">
        <v>196</v>
      </c>
      <c r="DR28" s="39">
        <v>146</v>
      </c>
      <c r="DT28" s="39">
        <v>387</v>
      </c>
      <c r="DU28" s="39">
        <v>80</v>
      </c>
      <c r="DV28" s="39">
        <v>5</v>
      </c>
      <c r="DW28" s="43">
        <v>43305</v>
      </c>
      <c r="DX28" s="39">
        <v>14.4</v>
      </c>
      <c r="DY28" s="39">
        <v>35</v>
      </c>
      <c r="DZ28">
        <v>1</v>
      </c>
      <c r="EA28" s="39">
        <v>35</v>
      </c>
      <c r="EB28">
        <v>1</v>
      </c>
      <c r="EC28" s="39">
        <v>3.08</v>
      </c>
      <c r="ED28" s="39">
        <v>5.19</v>
      </c>
      <c r="EE28">
        <v>1</v>
      </c>
      <c r="EF28" s="39">
        <v>5.19</v>
      </c>
      <c r="EG28">
        <v>1</v>
      </c>
      <c r="EH28" s="39">
        <v>152</v>
      </c>
      <c r="EI28" s="62">
        <v>1.3355263157894699</v>
      </c>
      <c r="EJ28" s="39">
        <v>203</v>
      </c>
      <c r="EK28" s="39">
        <v>1</v>
      </c>
      <c r="EL28">
        <f t="shared" si="6"/>
        <v>51</v>
      </c>
      <c r="EM28" s="39">
        <v>203</v>
      </c>
      <c r="EN28" s="39">
        <v>1</v>
      </c>
      <c r="ER28" s="39">
        <v>17</v>
      </c>
      <c r="ES28" s="39">
        <v>77</v>
      </c>
      <c r="ET28" s="39">
        <v>26</v>
      </c>
      <c r="EU28" s="39">
        <v>28</v>
      </c>
      <c r="EV28" s="39">
        <v>64</v>
      </c>
      <c r="EW28" s="39">
        <v>113</v>
      </c>
      <c r="EX28" s="39">
        <v>18</v>
      </c>
      <c r="EY28" s="39">
        <v>10</v>
      </c>
      <c r="FA28" s="39">
        <v>7.3</v>
      </c>
      <c r="FC28" s="39">
        <v>1</v>
      </c>
      <c r="FD28" s="39">
        <v>0</v>
      </c>
      <c r="FF28" s="39">
        <v>1</v>
      </c>
      <c r="FG28">
        <v>1</v>
      </c>
      <c r="FH28" s="43">
        <v>43313</v>
      </c>
      <c r="FI28" s="43"/>
      <c r="FJ28" s="43"/>
      <c r="FK28" s="39">
        <v>0</v>
      </c>
      <c r="FL28">
        <v>0</v>
      </c>
      <c r="FM28"/>
      <c r="FN28"/>
      <c r="FO28">
        <v>0</v>
      </c>
      <c r="FQ28" s="44">
        <v>43305</v>
      </c>
      <c r="FR28" s="44" t="s">
        <v>231</v>
      </c>
      <c r="FS28" s="45">
        <v>0</v>
      </c>
      <c r="FT28" s="45">
        <v>0</v>
      </c>
      <c r="FU28" s="45">
        <v>1</v>
      </c>
      <c r="FV28" s="45">
        <v>0</v>
      </c>
      <c r="FW28" s="45">
        <v>1</v>
      </c>
      <c r="FX28" s="45">
        <v>1</v>
      </c>
      <c r="FY28" s="45">
        <v>1</v>
      </c>
      <c r="FZ28" s="45">
        <v>1</v>
      </c>
      <c r="GA28" s="45">
        <v>1</v>
      </c>
      <c r="GB28" s="45">
        <v>1</v>
      </c>
      <c r="GC28" s="45">
        <v>1</v>
      </c>
      <c r="GD28" s="45">
        <v>1</v>
      </c>
      <c r="GE28" s="45">
        <v>1</v>
      </c>
      <c r="GF28" s="45">
        <v>1</v>
      </c>
      <c r="GG28" s="45">
        <v>1</v>
      </c>
      <c r="GH28" s="45">
        <v>1</v>
      </c>
      <c r="GI28" s="45">
        <v>0</v>
      </c>
      <c r="GJ28" s="45">
        <v>1</v>
      </c>
      <c r="GK28" s="45">
        <v>0</v>
      </c>
      <c r="GL28" s="45">
        <v>0</v>
      </c>
      <c r="GM28" s="45">
        <v>0</v>
      </c>
      <c r="GN28" s="45">
        <v>1</v>
      </c>
      <c r="GO28" s="45">
        <v>1</v>
      </c>
      <c r="GP28" s="45">
        <v>0</v>
      </c>
      <c r="GQ28" s="45">
        <v>1</v>
      </c>
      <c r="GR28" s="45">
        <v>1</v>
      </c>
      <c r="GS28" s="45">
        <v>1</v>
      </c>
      <c r="GT28" s="45">
        <v>0</v>
      </c>
      <c r="GU28" s="45">
        <v>1</v>
      </c>
      <c r="GV28" s="45">
        <v>0</v>
      </c>
      <c r="GW28" s="45">
        <v>0</v>
      </c>
      <c r="GX28" s="45">
        <v>0</v>
      </c>
      <c r="GY28" s="15">
        <v>0</v>
      </c>
      <c r="GZ28" s="15">
        <v>0</v>
      </c>
      <c r="HA28" s="45">
        <v>0</v>
      </c>
      <c r="HB28" s="45">
        <v>1</v>
      </c>
      <c r="HC28" s="45">
        <v>0</v>
      </c>
      <c r="HD28" s="45">
        <v>0</v>
      </c>
      <c r="HE28" s="15">
        <v>0</v>
      </c>
      <c r="HF28" s="15">
        <v>0</v>
      </c>
      <c r="HG28" s="45">
        <v>0</v>
      </c>
      <c r="HH28" s="45">
        <v>1</v>
      </c>
      <c r="HI28" s="45">
        <v>1</v>
      </c>
      <c r="HJ28" s="45">
        <v>1</v>
      </c>
      <c r="HK28" s="45">
        <v>0</v>
      </c>
      <c r="HL28" s="45">
        <v>1</v>
      </c>
      <c r="HM28" s="45"/>
      <c r="HN28" s="45">
        <v>1</v>
      </c>
      <c r="HO28" s="45">
        <v>1</v>
      </c>
      <c r="HP28" s="45">
        <v>0</v>
      </c>
      <c r="HQ28" s="45">
        <v>0</v>
      </c>
      <c r="HR28" s="45">
        <v>0</v>
      </c>
      <c r="HS28" s="45">
        <v>0</v>
      </c>
      <c r="HT28" s="45">
        <v>1</v>
      </c>
      <c r="HU28" s="45">
        <v>1</v>
      </c>
      <c r="HV28" s="45">
        <v>0</v>
      </c>
      <c r="HW28" s="45">
        <v>0</v>
      </c>
      <c r="HX28" s="45">
        <v>0</v>
      </c>
      <c r="HY28" s="45"/>
      <c r="HZ28" s="45"/>
      <c r="IA28" s="45"/>
      <c r="IB28" s="45"/>
      <c r="IC28" s="45"/>
      <c r="ID28" s="45"/>
      <c r="IE28" s="45"/>
      <c r="IF28" s="45"/>
      <c r="IG28" s="45"/>
      <c r="IH28" s="45"/>
      <c r="II28" s="45"/>
      <c r="IJ28" s="45"/>
      <c r="IK28" s="45"/>
      <c r="IL28" s="45"/>
      <c r="IM28" s="45"/>
      <c r="IN28" s="45"/>
      <c r="IO28" s="45"/>
      <c r="IP28" s="45"/>
      <c r="IQ28" s="45"/>
      <c r="IR28" s="45"/>
      <c r="IS28" s="45"/>
      <c r="IT28" s="45"/>
      <c r="IU28" s="45"/>
      <c r="IV28" s="45"/>
      <c r="IW28" s="45"/>
      <c r="IX28" s="45"/>
      <c r="IY28" s="45"/>
      <c r="IZ28" s="45"/>
      <c r="JA28" s="45"/>
      <c r="JB28" s="45"/>
      <c r="JC28" s="45"/>
      <c r="JD28" s="45"/>
      <c r="JE28" s="45"/>
      <c r="JF28" s="45"/>
      <c r="JG28" s="45"/>
      <c r="JH28" s="45"/>
      <c r="JI28" s="45"/>
      <c r="JJ28" s="45"/>
      <c r="JK28" s="45"/>
      <c r="JL28" s="45"/>
      <c r="JM28" s="45"/>
      <c r="JN28" s="45"/>
      <c r="JO28" s="45"/>
      <c r="JP28" s="45"/>
      <c r="JQ28" s="45"/>
      <c r="JR28" s="45"/>
      <c r="JS28" s="45"/>
      <c r="JT28" s="45"/>
      <c r="JU28" s="45"/>
      <c r="JV28" s="45"/>
      <c r="JW28" s="45"/>
      <c r="JX28" s="45"/>
      <c r="JY28" s="45"/>
      <c r="JZ28" s="45"/>
      <c r="KA28" s="45"/>
      <c r="KB28" s="45"/>
      <c r="KC28" s="45"/>
      <c r="KD28" s="45"/>
      <c r="KE28" s="45"/>
      <c r="KF28" s="45"/>
      <c r="KG28"/>
      <c r="KH28"/>
      <c r="KI28">
        <v>0</v>
      </c>
      <c r="KJ28">
        <v>0</v>
      </c>
      <c r="KK28">
        <v>1</v>
      </c>
      <c r="KL28">
        <v>0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0</v>
      </c>
      <c r="KZ28">
        <v>1</v>
      </c>
      <c r="LA28">
        <v>0</v>
      </c>
      <c r="LB28">
        <v>0</v>
      </c>
      <c r="LC28">
        <v>0</v>
      </c>
      <c r="LD28">
        <v>1</v>
      </c>
      <c r="LE28">
        <v>1</v>
      </c>
      <c r="LF28">
        <v>0</v>
      </c>
      <c r="LG28">
        <v>1</v>
      </c>
      <c r="LH28">
        <v>1</v>
      </c>
      <c r="LI28">
        <v>1</v>
      </c>
      <c r="LJ28">
        <v>0</v>
      </c>
      <c r="LK28">
        <v>1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1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1</v>
      </c>
      <c r="LY28">
        <v>1</v>
      </c>
      <c r="LZ28">
        <v>1</v>
      </c>
      <c r="MA28">
        <v>0</v>
      </c>
      <c r="MB28">
        <v>1</v>
      </c>
      <c r="MC28">
        <v>0</v>
      </c>
      <c r="MD28">
        <v>1</v>
      </c>
      <c r="ME28">
        <v>1</v>
      </c>
      <c r="MF28">
        <v>0</v>
      </c>
      <c r="MG28">
        <v>0</v>
      </c>
      <c r="MH28">
        <v>0</v>
      </c>
      <c r="MI28">
        <v>0</v>
      </c>
      <c r="MJ28">
        <v>1</v>
      </c>
      <c r="MK28">
        <v>1</v>
      </c>
      <c r="ML28">
        <v>0</v>
      </c>
      <c r="MM28">
        <v>0</v>
      </c>
      <c r="MN28">
        <v>0</v>
      </c>
      <c r="MO28">
        <v>1</v>
      </c>
      <c r="MP28">
        <v>0</v>
      </c>
      <c r="MQ28">
        <v>1</v>
      </c>
      <c r="MR28">
        <v>1</v>
      </c>
    </row>
    <row r="29" spans="1:359" s="39" customFormat="1" ht="18" x14ac:dyDescent="0.25">
      <c r="A29" t="s">
        <v>421</v>
      </c>
      <c r="B29" s="48">
        <v>38</v>
      </c>
      <c r="C29" s="40">
        <v>1</v>
      </c>
      <c r="D29" s="40">
        <v>0</v>
      </c>
      <c r="E29" s="40"/>
      <c r="F29" s="55">
        <v>2418</v>
      </c>
      <c r="G29" s="55"/>
      <c r="H29" s="57">
        <v>0</v>
      </c>
      <c r="I29" s="57">
        <v>0</v>
      </c>
      <c r="J29" s="57"/>
      <c r="K29" s="40"/>
      <c r="L29" s="40"/>
      <c r="M29" s="40"/>
      <c r="N29" s="40">
        <v>0</v>
      </c>
      <c r="O29" s="42">
        <v>45061</v>
      </c>
      <c r="P29" s="64">
        <f t="shared" si="0"/>
        <v>2418</v>
      </c>
      <c r="Q29" s="39">
        <v>3</v>
      </c>
      <c r="R29" s="39">
        <v>0</v>
      </c>
      <c r="S29" s="39">
        <v>1</v>
      </c>
      <c r="T29" s="39">
        <v>92</v>
      </c>
      <c r="U29" s="39">
        <v>0</v>
      </c>
      <c r="V29" s="39">
        <v>0</v>
      </c>
      <c r="W29" s="39">
        <v>0</v>
      </c>
      <c r="X29" s="39">
        <v>0</v>
      </c>
      <c r="Y29" s="39">
        <v>0</v>
      </c>
      <c r="Z29" s="39">
        <v>0</v>
      </c>
      <c r="AA29" s="39">
        <v>0</v>
      </c>
      <c r="AB29" s="39">
        <v>0</v>
      </c>
      <c r="AC29" s="39">
        <v>0</v>
      </c>
      <c r="AD29" s="39">
        <v>0</v>
      </c>
      <c r="AE29" s="39">
        <v>0</v>
      </c>
      <c r="AF29" s="39">
        <v>0</v>
      </c>
      <c r="AG29" s="39">
        <v>0</v>
      </c>
      <c r="AH29" s="39">
        <v>0</v>
      </c>
      <c r="AI29" s="39">
        <v>0</v>
      </c>
      <c r="AJ29" s="39">
        <v>0</v>
      </c>
      <c r="AK29" s="39">
        <v>0</v>
      </c>
      <c r="AL29" s="39">
        <v>0</v>
      </c>
      <c r="AM29" s="39">
        <v>1</v>
      </c>
      <c r="AN29" s="39">
        <v>74</v>
      </c>
      <c r="AO29" s="39">
        <v>169</v>
      </c>
      <c r="AP29" s="39">
        <v>25.9</v>
      </c>
      <c r="AR29" s="39">
        <v>164</v>
      </c>
      <c r="AS29" s="39">
        <v>105</v>
      </c>
      <c r="AT29" s="39">
        <v>1</v>
      </c>
      <c r="AU29">
        <v>0</v>
      </c>
      <c r="AV29" s="39">
        <v>136</v>
      </c>
      <c r="AW29" s="43">
        <v>42643</v>
      </c>
      <c r="AX29" s="43">
        <v>42643</v>
      </c>
      <c r="AY29" s="39">
        <v>0</v>
      </c>
      <c r="AZ29" s="43">
        <v>42642</v>
      </c>
      <c r="BA29" s="39">
        <v>1</v>
      </c>
      <c r="BB29" s="39">
        <v>0</v>
      </c>
      <c r="BC29" s="39">
        <v>0</v>
      </c>
      <c r="BD29" s="39">
        <v>1</v>
      </c>
      <c r="BE29" s="39">
        <v>0</v>
      </c>
      <c r="BF29" s="39">
        <v>0</v>
      </c>
      <c r="BG29" s="39">
        <v>0</v>
      </c>
      <c r="BH29" s="39">
        <v>0</v>
      </c>
      <c r="BI29" s="39">
        <v>0</v>
      </c>
      <c r="BJ29">
        <v>0</v>
      </c>
      <c r="BK29">
        <v>0</v>
      </c>
      <c r="BL29">
        <v>0</v>
      </c>
      <c r="BM29" s="66">
        <v>0</v>
      </c>
      <c r="BN29">
        <v>0</v>
      </c>
      <c r="BO29">
        <v>0</v>
      </c>
      <c r="BP29" s="66">
        <f t="shared" si="12"/>
        <v>0</v>
      </c>
      <c r="BQ29">
        <v>0</v>
      </c>
      <c r="BR29">
        <v>0</v>
      </c>
      <c r="BS29">
        <v>0</v>
      </c>
      <c r="BT29">
        <v>0</v>
      </c>
      <c r="BU29" s="66">
        <f t="shared" si="13"/>
        <v>0</v>
      </c>
      <c r="BV29">
        <v>0</v>
      </c>
      <c r="BW29">
        <v>0</v>
      </c>
      <c r="BX29" s="66">
        <f t="shared" si="3"/>
        <v>0</v>
      </c>
      <c r="BY29">
        <v>0</v>
      </c>
      <c r="BZ29">
        <f t="shared" si="4"/>
        <v>0</v>
      </c>
      <c r="CA29" s="39">
        <v>0</v>
      </c>
      <c r="CB29" s="39">
        <v>0</v>
      </c>
      <c r="CC29" s="39">
        <v>1</v>
      </c>
      <c r="CD29" s="39">
        <v>0</v>
      </c>
      <c r="CE29" s="39">
        <v>0</v>
      </c>
      <c r="CF29" s="39">
        <v>1</v>
      </c>
      <c r="CG29" s="39">
        <v>0</v>
      </c>
      <c r="CH29" s="39">
        <v>0</v>
      </c>
      <c r="CI29" s="39">
        <v>0</v>
      </c>
      <c r="CJ29" s="39">
        <v>0</v>
      </c>
      <c r="CK29" s="39">
        <v>0</v>
      </c>
      <c r="CL29" s="39">
        <v>0</v>
      </c>
      <c r="CM29" s="39">
        <v>0</v>
      </c>
      <c r="CN29" s="39">
        <v>0</v>
      </c>
      <c r="CO29">
        <v>1</v>
      </c>
      <c r="CP29" s="39">
        <v>0</v>
      </c>
      <c r="CQ29" s="39">
        <v>0</v>
      </c>
      <c r="CR29" s="39">
        <v>0</v>
      </c>
      <c r="CS29" s="39">
        <v>0</v>
      </c>
      <c r="CT29" s="39">
        <v>0</v>
      </c>
      <c r="CU29" s="39">
        <v>0</v>
      </c>
      <c r="CV29" s="39">
        <v>0</v>
      </c>
      <c r="CW29" s="31"/>
      <c r="CX29" s="39">
        <v>1</v>
      </c>
      <c r="CY29">
        <v>0</v>
      </c>
      <c r="DA29" s="43">
        <v>42643</v>
      </c>
      <c r="DB29" s="66">
        <f t="shared" si="5"/>
        <v>1</v>
      </c>
      <c r="DC29" s="39" t="s">
        <v>3</v>
      </c>
      <c r="DD29" s="39">
        <v>0</v>
      </c>
      <c r="DE29" s="43">
        <v>42644</v>
      </c>
      <c r="DF29" s="39">
        <v>2</v>
      </c>
      <c r="DG29" s="43">
        <v>42643</v>
      </c>
      <c r="DH29" s="39">
        <v>13</v>
      </c>
      <c r="DI29" s="39">
        <v>3.9</v>
      </c>
      <c r="DJ29" s="39">
        <v>1.4</v>
      </c>
      <c r="DK29" s="80">
        <v>241</v>
      </c>
      <c r="DM29" s="39">
        <v>90</v>
      </c>
      <c r="DO29" s="39">
        <v>1</v>
      </c>
      <c r="DP29" s="39">
        <v>244</v>
      </c>
      <c r="DR29" s="39">
        <v>50</v>
      </c>
      <c r="DS29" s="39">
        <v>1.8</v>
      </c>
      <c r="DW29" s="43">
        <v>42643</v>
      </c>
      <c r="DX29" s="39">
        <v>7.8</v>
      </c>
      <c r="DY29" s="39">
        <v>12</v>
      </c>
      <c r="DZ29">
        <v>0</v>
      </c>
      <c r="EA29" s="39">
        <v>12</v>
      </c>
      <c r="EB29">
        <v>0</v>
      </c>
      <c r="EC29" s="39">
        <v>0.78</v>
      </c>
      <c r="ED29" s="39">
        <v>0.81</v>
      </c>
      <c r="EE29">
        <v>0</v>
      </c>
      <c r="EF29" s="39">
        <v>0.81</v>
      </c>
      <c r="EG29">
        <v>0</v>
      </c>
      <c r="EH29" s="39">
        <v>82</v>
      </c>
      <c r="EI29" s="62">
        <v>2.8536585365853702</v>
      </c>
      <c r="EJ29" s="39">
        <v>234</v>
      </c>
      <c r="EK29" s="39">
        <v>1</v>
      </c>
      <c r="EL29">
        <f t="shared" si="6"/>
        <v>152</v>
      </c>
      <c r="EM29" s="39">
        <v>253</v>
      </c>
      <c r="EN29" s="39">
        <v>1</v>
      </c>
      <c r="EO29" s="39">
        <v>0.05</v>
      </c>
      <c r="ER29" s="39">
        <v>28</v>
      </c>
      <c r="FC29" s="39">
        <v>1</v>
      </c>
      <c r="FD29" s="39">
        <v>0</v>
      </c>
      <c r="FF29" s="39">
        <v>1</v>
      </c>
      <c r="FG29">
        <v>1</v>
      </c>
      <c r="FH29" s="43">
        <v>42657</v>
      </c>
      <c r="FI29" s="43"/>
      <c r="FJ29" s="43"/>
      <c r="FK29">
        <v>0</v>
      </c>
      <c r="FL29">
        <v>0</v>
      </c>
      <c r="FM29"/>
      <c r="FN29"/>
      <c r="FO29">
        <v>0</v>
      </c>
      <c r="FQ29" s="44">
        <v>42637</v>
      </c>
      <c r="FR29" s="44" t="s">
        <v>231</v>
      </c>
      <c r="FS29" s="45">
        <v>1</v>
      </c>
      <c r="FT29" s="45">
        <v>1</v>
      </c>
      <c r="FU29" s="45">
        <v>1</v>
      </c>
      <c r="FV29" s="45">
        <v>0</v>
      </c>
      <c r="FW29" s="45">
        <v>1</v>
      </c>
      <c r="FX29" s="45">
        <v>0</v>
      </c>
      <c r="FY29" s="45">
        <v>0</v>
      </c>
      <c r="FZ29" s="45">
        <v>0</v>
      </c>
      <c r="GA29" s="45">
        <v>0</v>
      </c>
      <c r="GB29" s="45">
        <v>0</v>
      </c>
      <c r="GC29" s="45">
        <v>1</v>
      </c>
      <c r="GD29" s="45">
        <v>0</v>
      </c>
      <c r="GE29" s="45">
        <v>0</v>
      </c>
      <c r="GF29" s="45">
        <v>0</v>
      </c>
      <c r="GG29" s="45">
        <v>0</v>
      </c>
      <c r="GH29" s="45">
        <v>0</v>
      </c>
      <c r="GI29" s="45">
        <v>1</v>
      </c>
      <c r="GJ29" s="45">
        <v>0</v>
      </c>
      <c r="GK29" s="45">
        <v>0</v>
      </c>
      <c r="GL29" s="45">
        <v>1</v>
      </c>
      <c r="GM29" s="45">
        <v>0</v>
      </c>
      <c r="GN29" s="45">
        <v>0</v>
      </c>
      <c r="GO29" s="45">
        <v>0</v>
      </c>
      <c r="GP29" s="45">
        <v>0</v>
      </c>
      <c r="GQ29" s="45">
        <v>0</v>
      </c>
      <c r="GR29" s="45">
        <v>0</v>
      </c>
      <c r="GS29" s="45">
        <v>0</v>
      </c>
      <c r="GT29" s="45">
        <v>0</v>
      </c>
      <c r="GU29" s="45">
        <v>0</v>
      </c>
      <c r="GV29" s="45">
        <v>0</v>
      </c>
      <c r="GW29" s="45">
        <v>0</v>
      </c>
      <c r="GX29" s="45">
        <v>0</v>
      </c>
      <c r="GY29" s="15">
        <v>0</v>
      </c>
      <c r="GZ29" s="15">
        <v>0</v>
      </c>
      <c r="HA29" s="45">
        <v>0</v>
      </c>
      <c r="HB29" s="45">
        <v>1</v>
      </c>
      <c r="HC29" s="45">
        <v>0</v>
      </c>
      <c r="HD29" s="45">
        <v>0</v>
      </c>
      <c r="HE29" s="15">
        <v>0</v>
      </c>
      <c r="HF29" s="15">
        <v>0</v>
      </c>
      <c r="HG29" s="45">
        <v>0</v>
      </c>
      <c r="HH29" s="45">
        <v>0</v>
      </c>
      <c r="HI29" s="45">
        <v>0</v>
      </c>
      <c r="HJ29" s="45">
        <v>0</v>
      </c>
      <c r="HK29" s="45">
        <v>0</v>
      </c>
      <c r="HL29" s="45">
        <v>0</v>
      </c>
      <c r="HM29" s="45">
        <v>0</v>
      </c>
      <c r="HN29" s="45">
        <v>0</v>
      </c>
      <c r="HO29" s="45">
        <v>1</v>
      </c>
      <c r="HP29" s="45">
        <v>0</v>
      </c>
      <c r="HQ29" s="45">
        <v>0</v>
      </c>
      <c r="HR29" s="45">
        <v>0</v>
      </c>
      <c r="HS29" s="45">
        <v>0</v>
      </c>
      <c r="HT29" s="45">
        <v>0</v>
      </c>
      <c r="HU29" s="45">
        <v>1</v>
      </c>
      <c r="HV29" s="45">
        <v>0</v>
      </c>
      <c r="HW29" s="45">
        <v>0</v>
      </c>
      <c r="HX29" s="45">
        <v>0</v>
      </c>
      <c r="HY29" s="44">
        <v>42643</v>
      </c>
      <c r="HZ29" s="45" t="s">
        <v>231</v>
      </c>
      <c r="IA29" s="45">
        <v>0</v>
      </c>
      <c r="IB29" s="45">
        <v>0</v>
      </c>
      <c r="IC29" s="45">
        <v>1</v>
      </c>
      <c r="ID29" s="45">
        <v>0</v>
      </c>
      <c r="IE29" s="45">
        <v>1</v>
      </c>
      <c r="IF29" s="45">
        <v>0</v>
      </c>
      <c r="IG29" s="45">
        <v>0</v>
      </c>
      <c r="IH29" s="45">
        <v>0</v>
      </c>
      <c r="II29" s="45">
        <v>0</v>
      </c>
      <c r="IJ29" s="45">
        <v>0</v>
      </c>
      <c r="IK29" s="45">
        <v>1</v>
      </c>
      <c r="IL29" s="45">
        <v>0</v>
      </c>
      <c r="IM29" s="45">
        <v>0</v>
      </c>
      <c r="IN29" s="45">
        <v>0</v>
      </c>
      <c r="IO29" s="45">
        <v>0</v>
      </c>
      <c r="IP29" s="45">
        <v>0</v>
      </c>
      <c r="IQ29" s="45">
        <v>1</v>
      </c>
      <c r="IR29" s="45">
        <v>0</v>
      </c>
      <c r="IS29" s="45">
        <v>0</v>
      </c>
      <c r="IT29" s="45">
        <v>1</v>
      </c>
      <c r="IU29" s="45">
        <v>0</v>
      </c>
      <c r="IV29" s="45">
        <v>0</v>
      </c>
      <c r="IW29" s="45">
        <v>0</v>
      </c>
      <c r="IX29" s="45">
        <v>0</v>
      </c>
      <c r="IY29" s="45">
        <v>0</v>
      </c>
      <c r="IZ29" s="45">
        <v>0</v>
      </c>
      <c r="JA29" s="45">
        <v>0</v>
      </c>
      <c r="JB29" s="45">
        <v>0</v>
      </c>
      <c r="JC29" s="45">
        <v>0</v>
      </c>
      <c r="JD29" s="45">
        <v>0</v>
      </c>
      <c r="JE29" s="45">
        <v>0</v>
      </c>
      <c r="JF29" s="45">
        <v>0</v>
      </c>
      <c r="JG29" s="15">
        <v>0</v>
      </c>
      <c r="JH29" s="15">
        <v>0</v>
      </c>
      <c r="JI29" s="45">
        <v>0</v>
      </c>
      <c r="JJ29" s="45">
        <v>1</v>
      </c>
      <c r="JK29" s="45">
        <v>0</v>
      </c>
      <c r="JL29" s="45">
        <v>0</v>
      </c>
      <c r="JM29" s="15">
        <v>0</v>
      </c>
      <c r="JN29" s="15">
        <v>0</v>
      </c>
      <c r="JO29" s="45">
        <v>0</v>
      </c>
      <c r="JP29" s="45">
        <v>0</v>
      </c>
      <c r="JQ29" s="45">
        <v>0</v>
      </c>
      <c r="JR29" s="45">
        <v>0</v>
      </c>
      <c r="JS29" s="45">
        <v>0</v>
      </c>
      <c r="JT29" s="45">
        <v>0</v>
      </c>
      <c r="JU29" s="45"/>
      <c r="JV29" s="45">
        <v>0</v>
      </c>
      <c r="JW29" s="45">
        <v>1</v>
      </c>
      <c r="JX29" s="45">
        <v>0</v>
      </c>
      <c r="JY29" s="45">
        <v>0</v>
      </c>
      <c r="JZ29" s="45">
        <v>0</v>
      </c>
      <c r="KA29" s="45">
        <v>0</v>
      </c>
      <c r="KB29" s="45">
        <v>0</v>
      </c>
      <c r="KC29" s="45">
        <v>1</v>
      </c>
      <c r="KD29" s="45">
        <v>0</v>
      </c>
      <c r="KE29" s="45">
        <v>0</v>
      </c>
      <c r="KF29" s="45">
        <v>0</v>
      </c>
      <c r="KG29"/>
      <c r="KH29"/>
      <c r="KI29">
        <v>1</v>
      </c>
      <c r="KJ29">
        <v>1</v>
      </c>
      <c r="KK29">
        <v>1</v>
      </c>
      <c r="KL29">
        <v>0</v>
      </c>
      <c r="KM29">
        <v>1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1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1</v>
      </c>
      <c r="KZ29">
        <v>0</v>
      </c>
      <c r="LA29">
        <v>0</v>
      </c>
      <c r="LB29">
        <v>1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1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1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1</v>
      </c>
      <c r="ML29">
        <v>0</v>
      </c>
      <c r="MM29">
        <v>0</v>
      </c>
      <c r="MN29">
        <v>0</v>
      </c>
      <c r="MO29">
        <v>0</v>
      </c>
      <c r="MP29">
        <v>0</v>
      </c>
      <c r="MQ29">
        <f t="shared" si="10"/>
        <v>0</v>
      </c>
      <c r="MR29">
        <f t="shared" si="11"/>
        <v>0</v>
      </c>
    </row>
    <row r="30" spans="1:359" s="39" customFormat="1" ht="18" x14ac:dyDescent="0.25">
      <c r="A30" t="s">
        <v>422</v>
      </c>
      <c r="B30" s="40">
        <v>60</v>
      </c>
      <c r="C30" s="40">
        <v>1</v>
      </c>
      <c r="D30" s="40">
        <v>0</v>
      </c>
      <c r="E30" s="40"/>
      <c r="F30" s="55">
        <v>773</v>
      </c>
      <c r="G30" s="55"/>
      <c r="H30" s="57">
        <v>0</v>
      </c>
      <c r="I30" s="57">
        <v>0</v>
      </c>
      <c r="J30" s="57"/>
      <c r="K30" s="40"/>
      <c r="L30" s="40"/>
      <c r="M30" s="40"/>
      <c r="N30" s="40">
        <v>0</v>
      </c>
      <c r="O30" s="42">
        <v>44137</v>
      </c>
      <c r="P30" s="64">
        <f t="shared" si="0"/>
        <v>773</v>
      </c>
      <c r="Q30" s="39">
        <v>1</v>
      </c>
      <c r="R30" s="39">
        <v>1</v>
      </c>
      <c r="S30" s="39">
        <v>0</v>
      </c>
      <c r="T30" s="39">
        <v>94</v>
      </c>
      <c r="U30" s="39">
        <v>0</v>
      </c>
      <c r="V30" s="39">
        <v>1</v>
      </c>
      <c r="W30" s="39">
        <v>0</v>
      </c>
      <c r="X30" s="39">
        <v>0</v>
      </c>
      <c r="Y30" s="39">
        <v>1</v>
      </c>
      <c r="Z30" s="39">
        <v>0</v>
      </c>
      <c r="AA30" s="39">
        <v>0</v>
      </c>
      <c r="AB30" s="39">
        <v>0</v>
      </c>
      <c r="AC30" s="39">
        <v>0</v>
      </c>
      <c r="AD30" s="39">
        <v>0</v>
      </c>
      <c r="AE30" s="39">
        <v>0</v>
      </c>
      <c r="AF30" s="39">
        <v>0</v>
      </c>
      <c r="AG30" s="39">
        <v>0</v>
      </c>
      <c r="AH30" s="39">
        <v>0</v>
      </c>
      <c r="AI30" s="39">
        <v>0</v>
      </c>
      <c r="AJ30" s="39">
        <v>0</v>
      </c>
      <c r="AK30" s="39">
        <v>0</v>
      </c>
      <c r="AL30" s="39">
        <v>0</v>
      </c>
      <c r="AM30" s="39">
        <v>1</v>
      </c>
      <c r="AN30" s="39">
        <v>74</v>
      </c>
      <c r="AO30" s="39">
        <v>170</v>
      </c>
      <c r="AP30" s="39">
        <v>25.6</v>
      </c>
      <c r="AQ30" s="39">
        <v>37</v>
      </c>
      <c r="AR30" s="39">
        <v>150</v>
      </c>
      <c r="AS30" s="39">
        <v>90</v>
      </c>
      <c r="AT30" s="39">
        <v>3</v>
      </c>
      <c r="AU30">
        <v>1</v>
      </c>
      <c r="AV30" s="39">
        <v>98</v>
      </c>
      <c r="AW30" s="43">
        <v>43363</v>
      </c>
      <c r="AX30" s="43">
        <v>43364</v>
      </c>
      <c r="AY30" s="39">
        <v>1</v>
      </c>
      <c r="AZ30" s="43">
        <v>43361</v>
      </c>
      <c r="BA30" s="39">
        <v>1</v>
      </c>
      <c r="BB30" s="39">
        <v>1</v>
      </c>
      <c r="BC30" s="39">
        <v>0</v>
      </c>
      <c r="BD30" s="39">
        <v>0</v>
      </c>
      <c r="BE30" s="39">
        <v>1</v>
      </c>
      <c r="BF30" s="39">
        <v>0</v>
      </c>
      <c r="BG30" s="39">
        <v>0</v>
      </c>
      <c r="BH30" s="39">
        <v>0</v>
      </c>
      <c r="BI30" s="39">
        <v>0</v>
      </c>
      <c r="BJ30">
        <v>0</v>
      </c>
      <c r="BK30">
        <v>0</v>
      </c>
      <c r="BL30">
        <v>0</v>
      </c>
      <c r="BM30" s="66">
        <v>0</v>
      </c>
      <c r="BN30">
        <v>0</v>
      </c>
      <c r="BO30">
        <v>0</v>
      </c>
      <c r="BP30" s="66">
        <f t="shared" si="12"/>
        <v>0</v>
      </c>
      <c r="BQ30">
        <v>0</v>
      </c>
      <c r="BR30">
        <v>0</v>
      </c>
      <c r="BS30">
        <v>0</v>
      </c>
      <c r="BT30">
        <v>0</v>
      </c>
      <c r="BU30" s="66">
        <f t="shared" si="13"/>
        <v>0</v>
      </c>
      <c r="BV30">
        <v>0</v>
      </c>
      <c r="BW30">
        <v>0</v>
      </c>
      <c r="BX30" s="66">
        <f t="shared" si="3"/>
        <v>0</v>
      </c>
      <c r="BY30">
        <v>0</v>
      </c>
      <c r="BZ30">
        <f t="shared" si="4"/>
        <v>0</v>
      </c>
      <c r="CA30" s="39">
        <v>0</v>
      </c>
      <c r="CB30" s="39">
        <v>0</v>
      </c>
      <c r="CD30" s="39">
        <v>0</v>
      </c>
      <c r="CE30" s="39">
        <v>0</v>
      </c>
      <c r="CF30" s="39">
        <v>0</v>
      </c>
      <c r="CG30" s="39">
        <v>0</v>
      </c>
      <c r="CH30" s="39">
        <v>0</v>
      </c>
      <c r="CI30" s="39">
        <v>0</v>
      </c>
      <c r="CJ30" s="39">
        <v>0</v>
      </c>
      <c r="CK30" s="39">
        <v>0</v>
      </c>
      <c r="CL30" s="39">
        <v>1</v>
      </c>
      <c r="CM30" s="39">
        <v>0</v>
      </c>
      <c r="CN30" s="39">
        <v>0</v>
      </c>
      <c r="CO30">
        <f t="shared" ref="CO30" si="14">CN30+CK30+CJ30+CI30+CH30+CG30+CF30+CE30</f>
        <v>0</v>
      </c>
      <c r="CP30" s="39">
        <v>0</v>
      </c>
      <c r="CQ30" s="39">
        <v>0</v>
      </c>
      <c r="CR30" s="39">
        <v>0</v>
      </c>
      <c r="CS30" s="39">
        <v>0</v>
      </c>
      <c r="CT30" s="39">
        <v>0</v>
      </c>
      <c r="CU30" s="39">
        <v>0</v>
      </c>
      <c r="CV30" s="39">
        <v>0</v>
      </c>
      <c r="CW30" s="31"/>
      <c r="CX30" s="39">
        <v>1</v>
      </c>
      <c r="CY30">
        <v>0</v>
      </c>
      <c r="DA30" s="43">
        <v>43365</v>
      </c>
      <c r="DB30" s="66">
        <f t="shared" si="5"/>
        <v>4</v>
      </c>
      <c r="DC30" s="39" t="s">
        <v>1</v>
      </c>
      <c r="DD30" s="39">
        <v>0</v>
      </c>
      <c r="DE30" s="43">
        <v>43374</v>
      </c>
      <c r="DF30" s="39">
        <v>10</v>
      </c>
      <c r="DG30" s="43">
        <v>43366</v>
      </c>
      <c r="DH30" s="39">
        <v>11</v>
      </c>
      <c r="DI30" s="39">
        <v>5.7</v>
      </c>
      <c r="DJ30" s="39">
        <v>2</v>
      </c>
      <c r="DK30" s="80">
        <v>344</v>
      </c>
      <c r="DM30" s="39">
        <v>107</v>
      </c>
      <c r="DO30" s="39">
        <v>2</v>
      </c>
      <c r="DP30" s="39">
        <v>344</v>
      </c>
      <c r="DR30" s="39">
        <v>54</v>
      </c>
      <c r="DS30" s="39">
        <v>2.9</v>
      </c>
      <c r="DT30" s="39">
        <v>202</v>
      </c>
      <c r="DU30" s="39">
        <v>46</v>
      </c>
      <c r="DW30" s="43">
        <v>43363</v>
      </c>
      <c r="DX30" s="39">
        <v>10.9</v>
      </c>
      <c r="DY30" s="39">
        <v>8.1</v>
      </c>
      <c r="DZ30">
        <v>0</v>
      </c>
      <c r="EA30" s="39">
        <v>10.9</v>
      </c>
      <c r="EB30">
        <v>0</v>
      </c>
      <c r="EC30" s="39">
        <v>1.28</v>
      </c>
      <c r="ED30" s="39">
        <v>0.9</v>
      </c>
      <c r="EE30">
        <v>0</v>
      </c>
      <c r="EF30" s="39">
        <v>1.28</v>
      </c>
      <c r="EG30">
        <v>0</v>
      </c>
      <c r="EH30" s="39">
        <v>257</v>
      </c>
      <c r="EI30" s="62">
        <v>0.53307392996108904</v>
      </c>
      <c r="EJ30" s="39">
        <v>137</v>
      </c>
      <c r="EK30">
        <v>0</v>
      </c>
      <c r="EL30">
        <f t="shared" si="6"/>
        <v>-120</v>
      </c>
      <c r="EM30" s="39">
        <v>257</v>
      </c>
      <c r="EN30" s="39">
        <v>1</v>
      </c>
      <c r="EO30" s="39">
        <v>0.56000000000000005</v>
      </c>
      <c r="ER30" s="39">
        <v>24</v>
      </c>
      <c r="ES30" s="39">
        <v>25</v>
      </c>
      <c r="ET30" s="39">
        <v>24</v>
      </c>
      <c r="EU30" s="39">
        <v>17</v>
      </c>
      <c r="EV30" s="39">
        <v>133</v>
      </c>
      <c r="EW30" s="39">
        <v>115</v>
      </c>
      <c r="EX30" s="39">
        <v>9</v>
      </c>
      <c r="EY30" s="39">
        <v>5</v>
      </c>
      <c r="FC30" s="39">
        <v>1</v>
      </c>
      <c r="FD30" s="39">
        <v>0</v>
      </c>
      <c r="FF30" s="39">
        <v>1</v>
      </c>
      <c r="FG30">
        <v>0</v>
      </c>
      <c r="FK30">
        <v>0</v>
      </c>
      <c r="FL30">
        <v>0</v>
      </c>
      <c r="FM30"/>
      <c r="FN30"/>
      <c r="FO30">
        <v>0</v>
      </c>
      <c r="FQ30" s="44">
        <v>43363</v>
      </c>
      <c r="FR30" s="44" t="s">
        <v>230</v>
      </c>
      <c r="FS30" s="45">
        <v>1</v>
      </c>
      <c r="FT30" s="45">
        <v>1</v>
      </c>
      <c r="FU30" s="45">
        <v>1</v>
      </c>
      <c r="FV30" s="45">
        <v>0</v>
      </c>
      <c r="FW30" s="45">
        <v>1</v>
      </c>
      <c r="FX30" s="45">
        <v>0</v>
      </c>
      <c r="FY30" s="45">
        <v>0</v>
      </c>
      <c r="FZ30" s="45">
        <v>1</v>
      </c>
      <c r="GA30" s="45">
        <v>1</v>
      </c>
      <c r="GB30" s="45">
        <v>1</v>
      </c>
      <c r="GC30" s="45">
        <v>0</v>
      </c>
      <c r="GD30" s="45">
        <v>0</v>
      </c>
      <c r="GE30" s="45">
        <v>1</v>
      </c>
      <c r="GF30" s="45">
        <v>0</v>
      </c>
      <c r="GG30" s="45">
        <v>0</v>
      </c>
      <c r="GH30" s="45">
        <v>0</v>
      </c>
      <c r="GI30" s="45">
        <v>0</v>
      </c>
      <c r="GJ30" s="45">
        <v>1</v>
      </c>
      <c r="GK30" s="45">
        <v>0</v>
      </c>
      <c r="GL30" s="45">
        <v>0</v>
      </c>
      <c r="GM30" s="45">
        <v>0</v>
      </c>
      <c r="GN30" s="45">
        <v>1</v>
      </c>
      <c r="GO30" s="45">
        <v>1</v>
      </c>
      <c r="GP30" s="45">
        <v>1</v>
      </c>
      <c r="GQ30" s="45">
        <v>0</v>
      </c>
      <c r="GR30" s="45">
        <v>1</v>
      </c>
      <c r="GS30" s="45">
        <v>1</v>
      </c>
      <c r="GT30" s="45">
        <v>1</v>
      </c>
      <c r="GU30" s="45">
        <v>1</v>
      </c>
      <c r="GV30" s="45">
        <v>0</v>
      </c>
      <c r="GW30" s="45">
        <v>0</v>
      </c>
      <c r="GX30" s="45">
        <v>0</v>
      </c>
      <c r="GY30" s="15">
        <v>0</v>
      </c>
      <c r="GZ30" s="15">
        <v>0</v>
      </c>
      <c r="HA30" s="45">
        <v>0</v>
      </c>
      <c r="HB30" s="45">
        <v>1</v>
      </c>
      <c r="HC30" s="45">
        <v>0</v>
      </c>
      <c r="HD30" s="45">
        <v>0</v>
      </c>
      <c r="HE30" s="15">
        <v>0</v>
      </c>
      <c r="HF30" s="15">
        <v>0</v>
      </c>
      <c r="HG30" s="45">
        <v>0</v>
      </c>
      <c r="HH30" s="45">
        <v>0</v>
      </c>
      <c r="HI30" s="45">
        <v>0</v>
      </c>
      <c r="HJ30" s="45">
        <v>0</v>
      </c>
      <c r="HK30" s="45">
        <v>0</v>
      </c>
      <c r="HL30" s="45">
        <v>0</v>
      </c>
      <c r="HM30" s="45">
        <v>0</v>
      </c>
      <c r="HN30" s="45">
        <v>0</v>
      </c>
      <c r="HO30" s="45">
        <v>1</v>
      </c>
      <c r="HP30" s="45">
        <v>0</v>
      </c>
      <c r="HQ30" s="45">
        <v>0</v>
      </c>
      <c r="HR30" s="45">
        <v>0</v>
      </c>
      <c r="HS30" s="45">
        <v>0</v>
      </c>
      <c r="HT30" s="45">
        <v>0</v>
      </c>
      <c r="HU30" s="45">
        <v>0</v>
      </c>
      <c r="HV30" s="45">
        <v>0</v>
      </c>
      <c r="HW30" s="45">
        <v>0</v>
      </c>
      <c r="HX30" s="45">
        <v>0</v>
      </c>
      <c r="HY30" s="44">
        <v>43365</v>
      </c>
      <c r="HZ30" s="45" t="s">
        <v>230</v>
      </c>
      <c r="IA30" s="45">
        <v>1</v>
      </c>
      <c r="IB30" s="45">
        <v>0</v>
      </c>
      <c r="IC30" s="45">
        <v>1</v>
      </c>
      <c r="ID30" s="45">
        <v>0</v>
      </c>
      <c r="IE30" s="45">
        <v>1</v>
      </c>
      <c r="IF30" s="45">
        <v>0</v>
      </c>
      <c r="IG30" s="45">
        <v>0</v>
      </c>
      <c r="IH30" s="45">
        <v>1</v>
      </c>
      <c r="II30" s="45">
        <v>1</v>
      </c>
      <c r="IJ30" s="45">
        <v>1</v>
      </c>
      <c r="IK30" s="45">
        <v>0</v>
      </c>
      <c r="IL30" s="45">
        <v>1</v>
      </c>
      <c r="IM30" s="45">
        <v>1</v>
      </c>
      <c r="IN30" s="45">
        <v>0</v>
      </c>
      <c r="IO30" s="45">
        <v>0</v>
      </c>
      <c r="IP30" s="45">
        <v>0</v>
      </c>
      <c r="IQ30" s="45">
        <v>0</v>
      </c>
      <c r="IR30" s="45">
        <v>1</v>
      </c>
      <c r="IS30" s="45">
        <v>0</v>
      </c>
      <c r="IT30" s="45">
        <v>0</v>
      </c>
      <c r="IU30" s="45">
        <v>0</v>
      </c>
      <c r="IV30" s="45">
        <v>1</v>
      </c>
      <c r="IW30" s="45">
        <v>1</v>
      </c>
      <c r="IX30" s="45">
        <v>1</v>
      </c>
      <c r="IY30" s="45">
        <v>0</v>
      </c>
      <c r="IZ30" s="45">
        <v>1</v>
      </c>
      <c r="JA30" s="45">
        <v>1</v>
      </c>
      <c r="JB30" s="45">
        <v>1</v>
      </c>
      <c r="JC30" s="45">
        <v>1</v>
      </c>
      <c r="JD30" s="45">
        <v>0</v>
      </c>
      <c r="JE30" s="45">
        <v>0</v>
      </c>
      <c r="JF30" s="45">
        <v>0</v>
      </c>
      <c r="JG30" s="15">
        <v>0</v>
      </c>
      <c r="JH30" s="15">
        <v>0</v>
      </c>
      <c r="JI30" s="45">
        <v>0</v>
      </c>
      <c r="JJ30" s="45">
        <v>1</v>
      </c>
      <c r="JK30" s="45">
        <v>0</v>
      </c>
      <c r="JL30" s="45">
        <v>0</v>
      </c>
      <c r="JM30" s="15">
        <v>0</v>
      </c>
      <c r="JN30" s="15">
        <v>0</v>
      </c>
      <c r="JO30" s="45">
        <v>0</v>
      </c>
      <c r="JP30" s="45">
        <v>0</v>
      </c>
      <c r="JQ30" s="45">
        <v>0</v>
      </c>
      <c r="JR30" s="45">
        <v>0</v>
      </c>
      <c r="JS30" s="45">
        <v>0</v>
      </c>
      <c r="JT30" s="45">
        <v>0</v>
      </c>
      <c r="JU30" s="45">
        <v>0</v>
      </c>
      <c r="JV30" s="45">
        <v>0</v>
      </c>
      <c r="JW30" s="45">
        <v>1</v>
      </c>
      <c r="JX30" s="45">
        <v>0</v>
      </c>
      <c r="JY30" s="45">
        <v>0</v>
      </c>
      <c r="JZ30" s="45">
        <v>0</v>
      </c>
      <c r="KA30" s="45">
        <v>0</v>
      </c>
      <c r="KB30" s="45">
        <v>0</v>
      </c>
      <c r="KC30" s="45">
        <v>1</v>
      </c>
      <c r="KD30" s="45">
        <v>0</v>
      </c>
      <c r="KE30" s="45">
        <v>0</v>
      </c>
      <c r="KF30" s="45">
        <v>0</v>
      </c>
      <c r="KG30"/>
      <c r="KH30"/>
      <c r="KI30">
        <v>1</v>
      </c>
      <c r="KJ30">
        <v>1</v>
      </c>
      <c r="KK30">
        <v>1</v>
      </c>
      <c r="KL30">
        <v>0</v>
      </c>
      <c r="KM30">
        <v>1</v>
      </c>
      <c r="KN30">
        <v>0</v>
      </c>
      <c r="KO30">
        <v>0</v>
      </c>
      <c r="KP30">
        <v>1</v>
      </c>
      <c r="KQ30">
        <v>1</v>
      </c>
      <c r="KR30">
        <v>1</v>
      </c>
      <c r="KS30">
        <v>0</v>
      </c>
      <c r="KT30">
        <v>1</v>
      </c>
      <c r="KU30">
        <v>1</v>
      </c>
      <c r="KV30">
        <v>0</v>
      </c>
      <c r="KW30">
        <v>0</v>
      </c>
      <c r="KX30">
        <v>0</v>
      </c>
      <c r="KY30">
        <v>0</v>
      </c>
      <c r="KZ30">
        <v>1</v>
      </c>
      <c r="LA30">
        <v>0</v>
      </c>
      <c r="LB30">
        <v>0</v>
      </c>
      <c r="LC30">
        <v>0</v>
      </c>
      <c r="LD30">
        <v>1</v>
      </c>
      <c r="LE30">
        <v>1</v>
      </c>
      <c r="LF30">
        <v>1</v>
      </c>
      <c r="LG30">
        <v>0</v>
      </c>
      <c r="LH30">
        <v>1</v>
      </c>
      <c r="LI30">
        <v>1</v>
      </c>
      <c r="LJ30">
        <v>1</v>
      </c>
      <c r="LK30">
        <v>1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1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1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1</v>
      </c>
      <c r="ML30">
        <v>0</v>
      </c>
      <c r="MM30">
        <v>0</v>
      </c>
      <c r="MN30">
        <v>0</v>
      </c>
      <c r="MO30">
        <v>0</v>
      </c>
      <c r="MP30">
        <v>0</v>
      </c>
      <c r="MQ30">
        <f t="shared" si="10"/>
        <v>0</v>
      </c>
      <c r="MR30">
        <f t="shared" si="11"/>
        <v>0</v>
      </c>
    </row>
    <row r="31" spans="1:359" s="39" customFormat="1" ht="18" x14ac:dyDescent="0.25">
      <c r="A31" t="s">
        <v>423</v>
      </c>
      <c r="B31" s="40">
        <v>60</v>
      </c>
      <c r="C31" s="40">
        <v>0</v>
      </c>
      <c r="D31" s="40">
        <v>0</v>
      </c>
      <c r="E31" s="40"/>
      <c r="F31" s="55">
        <v>1625</v>
      </c>
      <c r="G31" s="55"/>
      <c r="H31" s="57">
        <v>0</v>
      </c>
      <c r="I31" s="57">
        <v>0</v>
      </c>
      <c r="J31" s="57"/>
      <c r="K31" s="40"/>
      <c r="L31" s="40"/>
      <c r="M31" s="40"/>
      <c r="N31" s="40">
        <v>0</v>
      </c>
      <c r="O31" s="42">
        <v>44932</v>
      </c>
      <c r="P31" s="64">
        <f t="shared" si="0"/>
        <v>1625</v>
      </c>
      <c r="Q31" s="39">
        <v>1</v>
      </c>
      <c r="R31" s="39">
        <v>1</v>
      </c>
      <c r="S31" s="39">
        <v>0</v>
      </c>
      <c r="T31" s="39">
        <v>78</v>
      </c>
      <c r="U31" s="39">
        <v>1</v>
      </c>
      <c r="V31" s="39">
        <v>0</v>
      </c>
      <c r="W31" s="39">
        <v>0</v>
      </c>
      <c r="X31" s="39">
        <v>0</v>
      </c>
      <c r="Y31" s="39">
        <v>0</v>
      </c>
      <c r="Z31" s="39">
        <v>0</v>
      </c>
      <c r="AA31" s="39">
        <v>0</v>
      </c>
      <c r="AB31" s="39">
        <v>0</v>
      </c>
      <c r="AC31" s="39">
        <v>0</v>
      </c>
      <c r="AD31" s="39">
        <v>0</v>
      </c>
      <c r="AE31" s="39">
        <v>0</v>
      </c>
      <c r="AF31" s="39">
        <v>0</v>
      </c>
      <c r="AG31" s="39">
        <v>0</v>
      </c>
      <c r="AH31" s="39">
        <v>0</v>
      </c>
      <c r="AI31" s="39">
        <v>0</v>
      </c>
      <c r="AJ31" s="39">
        <v>1</v>
      </c>
      <c r="AK31" s="39">
        <v>0</v>
      </c>
      <c r="AL31" s="39">
        <v>0</v>
      </c>
      <c r="AM31" s="39">
        <v>1</v>
      </c>
      <c r="AN31" s="39">
        <v>77</v>
      </c>
      <c r="AO31" s="39">
        <v>178</v>
      </c>
      <c r="AP31" s="39">
        <v>24.3</v>
      </c>
      <c r="AQ31" s="39">
        <v>37</v>
      </c>
      <c r="AR31" s="39">
        <v>109</v>
      </c>
      <c r="AS31" s="39">
        <v>80</v>
      </c>
      <c r="AT31" s="39">
        <v>3</v>
      </c>
      <c r="AU31">
        <v>1</v>
      </c>
      <c r="AV31" s="39">
        <v>96</v>
      </c>
      <c r="AW31" s="43">
        <v>43306</v>
      </c>
      <c r="AX31" s="43">
        <v>43307</v>
      </c>
      <c r="AY31" s="39">
        <v>1</v>
      </c>
      <c r="AZ31" s="43">
        <v>43306</v>
      </c>
      <c r="BA31" s="39">
        <v>1</v>
      </c>
      <c r="BB31" s="39">
        <v>0</v>
      </c>
      <c r="BC31" s="39">
        <v>0</v>
      </c>
      <c r="BD31" s="39">
        <v>1</v>
      </c>
      <c r="BE31" s="39">
        <v>0</v>
      </c>
      <c r="BF31" s="39">
        <v>0</v>
      </c>
      <c r="BG31" s="39">
        <v>0</v>
      </c>
      <c r="BH31" s="39">
        <v>0</v>
      </c>
      <c r="BI31" s="39">
        <v>0</v>
      </c>
      <c r="BJ31">
        <v>0</v>
      </c>
      <c r="BK31">
        <v>0</v>
      </c>
      <c r="BL31">
        <v>0</v>
      </c>
      <c r="BM31" s="66">
        <v>0</v>
      </c>
      <c r="BN31">
        <v>0</v>
      </c>
      <c r="BO31" s="39">
        <v>1</v>
      </c>
      <c r="BP31" s="66">
        <f t="shared" si="12"/>
        <v>1</v>
      </c>
      <c r="BQ31">
        <v>0</v>
      </c>
      <c r="BR31">
        <v>0</v>
      </c>
      <c r="BS31">
        <v>0</v>
      </c>
      <c r="BT31">
        <v>0</v>
      </c>
      <c r="BU31" s="66">
        <f t="shared" si="13"/>
        <v>0</v>
      </c>
      <c r="BV31">
        <v>0</v>
      </c>
      <c r="BW31" s="39">
        <v>1</v>
      </c>
      <c r="BX31" s="66">
        <f t="shared" si="3"/>
        <v>1</v>
      </c>
      <c r="BY31">
        <v>0</v>
      </c>
      <c r="BZ31">
        <f t="shared" si="4"/>
        <v>0</v>
      </c>
      <c r="CA31" s="39">
        <v>0</v>
      </c>
      <c r="CB31" s="39">
        <v>0</v>
      </c>
      <c r="CD31" s="39">
        <v>0</v>
      </c>
      <c r="CE31" s="39">
        <v>0</v>
      </c>
      <c r="CF31" s="39">
        <v>0</v>
      </c>
      <c r="CG31" s="39">
        <v>0</v>
      </c>
      <c r="CH31" s="39">
        <v>0</v>
      </c>
      <c r="CI31" s="39">
        <v>1</v>
      </c>
      <c r="CJ31" s="39">
        <v>0</v>
      </c>
      <c r="CK31" s="39">
        <v>0</v>
      </c>
      <c r="CL31" s="39">
        <v>0</v>
      </c>
      <c r="CM31" s="39">
        <v>0</v>
      </c>
      <c r="CN31" s="39">
        <v>0</v>
      </c>
      <c r="CO31">
        <v>1</v>
      </c>
      <c r="CP31" s="39">
        <v>0</v>
      </c>
      <c r="CQ31" s="39">
        <v>0</v>
      </c>
      <c r="CR31" s="39">
        <v>0</v>
      </c>
      <c r="CS31" s="39">
        <v>0</v>
      </c>
      <c r="CT31" s="39">
        <v>0</v>
      </c>
      <c r="CU31" s="39">
        <v>0</v>
      </c>
      <c r="CV31" s="39">
        <v>0</v>
      </c>
      <c r="CW31" s="31"/>
      <c r="CX31" s="39">
        <v>1</v>
      </c>
      <c r="CY31">
        <v>0</v>
      </c>
      <c r="DA31" s="43">
        <v>43307</v>
      </c>
      <c r="DB31" s="66">
        <f t="shared" si="5"/>
        <v>1</v>
      </c>
      <c r="DC31" s="39" t="s">
        <v>1</v>
      </c>
      <c r="DD31" s="39">
        <v>0</v>
      </c>
      <c r="DE31" s="43">
        <v>43314</v>
      </c>
      <c r="DF31" s="39">
        <v>8</v>
      </c>
      <c r="DG31" s="43">
        <v>43307</v>
      </c>
      <c r="DH31" s="39">
        <v>15</v>
      </c>
      <c r="DI31" s="39">
        <v>9.4</v>
      </c>
      <c r="DJ31" s="39">
        <v>1</v>
      </c>
      <c r="DK31" s="80">
        <v>163</v>
      </c>
      <c r="DL31" s="39">
        <v>2</v>
      </c>
      <c r="DM31" s="39">
        <v>46</v>
      </c>
      <c r="DN31" s="39">
        <v>5272</v>
      </c>
      <c r="DO31" s="39">
        <v>2</v>
      </c>
      <c r="DP31" s="39">
        <v>163</v>
      </c>
      <c r="DQ31" s="39">
        <v>5272</v>
      </c>
      <c r="DR31" s="39">
        <v>65</v>
      </c>
      <c r="DS31" s="39">
        <v>5.3</v>
      </c>
      <c r="DU31" s="39">
        <v>28</v>
      </c>
      <c r="DV31" s="39">
        <v>0</v>
      </c>
      <c r="DW31" s="43">
        <v>43306</v>
      </c>
      <c r="DX31" s="39">
        <v>15.4</v>
      </c>
      <c r="DY31" s="39">
        <v>8</v>
      </c>
      <c r="DZ31">
        <v>0</v>
      </c>
      <c r="EA31" s="39">
        <v>15.4</v>
      </c>
      <c r="EB31">
        <v>1</v>
      </c>
      <c r="EC31" s="39">
        <v>1.3</v>
      </c>
      <c r="ED31" s="39">
        <v>0.9</v>
      </c>
      <c r="EE31">
        <v>0</v>
      </c>
      <c r="EF31" s="39">
        <v>1.35</v>
      </c>
      <c r="EG31">
        <v>0</v>
      </c>
      <c r="EH31" s="39">
        <v>5</v>
      </c>
      <c r="EI31" s="62">
        <v>23.8</v>
      </c>
      <c r="EJ31" s="39">
        <v>119</v>
      </c>
      <c r="EK31">
        <v>0</v>
      </c>
      <c r="EL31">
        <f t="shared" si="6"/>
        <v>114</v>
      </c>
      <c r="EM31" s="39">
        <v>119</v>
      </c>
      <c r="EN31">
        <v>0</v>
      </c>
      <c r="EO31" s="39">
        <v>0.11</v>
      </c>
      <c r="EP31" s="39">
        <v>0.18</v>
      </c>
      <c r="ER31" s="39">
        <v>19</v>
      </c>
      <c r="ES31" s="39">
        <v>30</v>
      </c>
      <c r="ET31" s="39">
        <v>27</v>
      </c>
      <c r="EU31" s="39">
        <v>19</v>
      </c>
      <c r="EV31" s="39">
        <v>59</v>
      </c>
      <c r="EW31" s="39">
        <v>43</v>
      </c>
      <c r="EX31" s="39">
        <v>54</v>
      </c>
      <c r="EY31" s="39">
        <v>13</v>
      </c>
      <c r="FC31" s="39">
        <v>1</v>
      </c>
      <c r="FD31" s="39">
        <v>0</v>
      </c>
      <c r="FF31" s="39">
        <v>1</v>
      </c>
      <c r="FG31">
        <v>0</v>
      </c>
      <c r="FK31">
        <v>0</v>
      </c>
      <c r="FL31">
        <v>0</v>
      </c>
      <c r="FM31"/>
      <c r="FN31"/>
      <c r="FO31">
        <v>0</v>
      </c>
      <c r="FQ31" s="44">
        <v>43307</v>
      </c>
      <c r="FR31" s="44" t="s">
        <v>230</v>
      </c>
      <c r="FS31" s="45">
        <v>1</v>
      </c>
      <c r="FT31" s="45">
        <v>0</v>
      </c>
      <c r="FU31" s="45">
        <v>1</v>
      </c>
      <c r="FV31" s="45">
        <v>0</v>
      </c>
      <c r="FW31" s="45">
        <v>1</v>
      </c>
      <c r="FX31" s="45">
        <v>0</v>
      </c>
      <c r="FY31" s="45">
        <v>0</v>
      </c>
      <c r="FZ31" s="45">
        <v>0</v>
      </c>
      <c r="GA31" s="45">
        <v>0</v>
      </c>
      <c r="GB31" s="45">
        <v>1</v>
      </c>
      <c r="GC31" s="45">
        <v>1</v>
      </c>
      <c r="GD31" s="45">
        <v>1</v>
      </c>
      <c r="GE31" s="45">
        <v>0</v>
      </c>
      <c r="GF31" s="45">
        <v>0</v>
      </c>
      <c r="GG31" s="45">
        <v>0</v>
      </c>
      <c r="GH31" s="45">
        <v>0</v>
      </c>
      <c r="GI31" s="45">
        <v>1</v>
      </c>
      <c r="GJ31" s="45">
        <v>0</v>
      </c>
      <c r="GK31" s="45">
        <v>0</v>
      </c>
      <c r="GL31" s="45">
        <v>0</v>
      </c>
      <c r="GM31" s="45">
        <v>1</v>
      </c>
      <c r="GN31" s="45">
        <v>0</v>
      </c>
      <c r="GO31" s="45">
        <v>1</v>
      </c>
      <c r="GP31" s="45">
        <v>0</v>
      </c>
      <c r="GQ31" s="45">
        <v>1</v>
      </c>
      <c r="GR31" s="45">
        <v>1</v>
      </c>
      <c r="GS31" s="45">
        <v>1</v>
      </c>
      <c r="GT31" s="45">
        <v>1</v>
      </c>
      <c r="GU31" s="45">
        <v>1</v>
      </c>
      <c r="GV31" s="45">
        <v>0</v>
      </c>
      <c r="GW31" s="45">
        <v>0</v>
      </c>
      <c r="GX31" s="45">
        <v>0</v>
      </c>
      <c r="GY31" s="15">
        <v>0</v>
      </c>
      <c r="GZ31" s="15">
        <v>0</v>
      </c>
      <c r="HA31" s="45">
        <v>0</v>
      </c>
      <c r="HB31" s="45">
        <v>1</v>
      </c>
      <c r="HC31" s="45">
        <v>0</v>
      </c>
      <c r="HD31" s="45">
        <v>0</v>
      </c>
      <c r="HE31" s="15">
        <v>0</v>
      </c>
      <c r="HF31" s="15">
        <v>0</v>
      </c>
      <c r="HG31" s="45">
        <v>0</v>
      </c>
      <c r="HH31" s="45">
        <v>0</v>
      </c>
      <c r="HI31" s="45">
        <v>1</v>
      </c>
      <c r="HJ31" s="45">
        <v>1</v>
      </c>
      <c r="HK31" s="45">
        <v>0</v>
      </c>
      <c r="HL31" s="45">
        <v>1</v>
      </c>
      <c r="HM31" s="45">
        <v>0</v>
      </c>
      <c r="HN31" s="45">
        <v>0</v>
      </c>
      <c r="HO31" s="45">
        <v>1</v>
      </c>
      <c r="HP31" s="45">
        <v>0</v>
      </c>
      <c r="HQ31" s="45">
        <v>0</v>
      </c>
      <c r="HR31" s="45">
        <v>0</v>
      </c>
      <c r="HS31" s="45">
        <v>0</v>
      </c>
      <c r="HT31" s="45">
        <v>1</v>
      </c>
      <c r="HU31" s="45">
        <v>1</v>
      </c>
      <c r="HV31" s="45">
        <v>0</v>
      </c>
      <c r="HW31" s="45">
        <v>1</v>
      </c>
      <c r="HX31" s="45">
        <v>1</v>
      </c>
      <c r="HY31" s="45"/>
      <c r="HZ31" s="45"/>
      <c r="IA31" s="45"/>
      <c r="IB31" s="45"/>
      <c r="IC31" s="45"/>
      <c r="ID31" s="45"/>
      <c r="IE31" s="45"/>
      <c r="IF31" s="45"/>
      <c r="IG31" s="45"/>
      <c r="IH31" s="45"/>
      <c r="II31" s="45"/>
      <c r="IJ31" s="45"/>
      <c r="IK31" s="45"/>
      <c r="IL31" s="45"/>
      <c r="IM31" s="45"/>
      <c r="IN31" s="45"/>
      <c r="IO31" s="45"/>
      <c r="IP31" s="45"/>
      <c r="IQ31" s="45"/>
      <c r="IR31" s="45"/>
      <c r="IS31" s="45"/>
      <c r="IT31" s="45"/>
      <c r="IU31" s="45"/>
      <c r="IV31" s="45"/>
      <c r="IW31" s="45"/>
      <c r="IX31" s="45"/>
      <c r="IY31" s="45"/>
      <c r="IZ31" s="45"/>
      <c r="JA31" s="45"/>
      <c r="JB31" s="45"/>
      <c r="JC31" s="45"/>
      <c r="JD31" s="45"/>
      <c r="JE31" s="45"/>
      <c r="JF31" s="45"/>
      <c r="JG31" s="45"/>
      <c r="JH31" s="45"/>
      <c r="JI31" s="45"/>
      <c r="JJ31" s="45"/>
      <c r="JK31" s="45"/>
      <c r="JL31" s="45"/>
      <c r="JM31" s="45"/>
      <c r="JN31" s="45"/>
      <c r="JO31" s="45"/>
      <c r="JP31" s="45"/>
      <c r="JQ31" s="45"/>
      <c r="JR31" s="45"/>
      <c r="JS31" s="45"/>
      <c r="JT31" s="45"/>
      <c r="JU31" s="45"/>
      <c r="JV31" s="45"/>
      <c r="JW31" s="45"/>
      <c r="JX31" s="45"/>
      <c r="JY31" s="45"/>
      <c r="JZ31" s="45"/>
      <c r="KA31" s="45"/>
      <c r="KB31" s="45"/>
      <c r="KC31" s="45"/>
      <c r="KD31" s="45"/>
      <c r="KE31" s="45"/>
      <c r="KF31" s="45"/>
      <c r="KG31"/>
      <c r="KH31"/>
      <c r="KI31">
        <v>1</v>
      </c>
      <c r="KJ31">
        <v>0</v>
      </c>
      <c r="KK31">
        <v>1</v>
      </c>
      <c r="KL31">
        <v>0</v>
      </c>
      <c r="KM31">
        <v>1</v>
      </c>
      <c r="KN31">
        <v>0</v>
      </c>
      <c r="KO31">
        <v>0</v>
      </c>
      <c r="KP31">
        <v>0</v>
      </c>
      <c r="KQ31">
        <v>0</v>
      </c>
      <c r="KR31">
        <v>1</v>
      </c>
      <c r="KS31">
        <v>1</v>
      </c>
      <c r="KT31">
        <v>1</v>
      </c>
      <c r="KU31">
        <v>0</v>
      </c>
      <c r="KV31">
        <v>0</v>
      </c>
      <c r="KW31">
        <v>0</v>
      </c>
      <c r="KX31">
        <v>0</v>
      </c>
      <c r="KY31">
        <v>1</v>
      </c>
      <c r="KZ31">
        <v>0</v>
      </c>
      <c r="LA31">
        <v>0</v>
      </c>
      <c r="LB31">
        <v>0</v>
      </c>
      <c r="LC31">
        <v>1</v>
      </c>
      <c r="LD31">
        <v>0</v>
      </c>
      <c r="LE31">
        <v>1</v>
      </c>
      <c r="LF31">
        <v>0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1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1</v>
      </c>
      <c r="LZ31">
        <v>1</v>
      </c>
      <c r="MA31">
        <v>0</v>
      </c>
      <c r="MB31">
        <v>1</v>
      </c>
      <c r="MC31">
        <v>0</v>
      </c>
      <c r="MD31">
        <v>0</v>
      </c>
      <c r="ME31">
        <v>1</v>
      </c>
      <c r="MF31">
        <v>0</v>
      </c>
      <c r="MG31">
        <v>0</v>
      </c>
      <c r="MH31">
        <v>0</v>
      </c>
      <c r="MI31">
        <v>0</v>
      </c>
      <c r="MJ31">
        <v>1</v>
      </c>
      <c r="MK31">
        <v>1</v>
      </c>
      <c r="ML31">
        <v>0</v>
      </c>
      <c r="MM31">
        <v>1</v>
      </c>
      <c r="MN31">
        <v>1</v>
      </c>
      <c r="MO31">
        <v>1</v>
      </c>
      <c r="MP31">
        <v>0</v>
      </c>
      <c r="MQ31">
        <v>1</v>
      </c>
      <c r="MR31">
        <v>1</v>
      </c>
    </row>
    <row r="32" spans="1:359" s="39" customFormat="1" ht="18" x14ac:dyDescent="0.25">
      <c r="A32" t="s">
        <v>424</v>
      </c>
      <c r="B32" s="40">
        <v>89</v>
      </c>
      <c r="C32" s="40">
        <v>1</v>
      </c>
      <c r="D32" s="40">
        <v>0</v>
      </c>
      <c r="E32" s="40"/>
      <c r="F32" s="55">
        <v>198</v>
      </c>
      <c r="G32" s="55"/>
      <c r="H32" s="57">
        <v>0</v>
      </c>
      <c r="I32" s="57">
        <v>0</v>
      </c>
      <c r="J32" s="57"/>
      <c r="K32" s="40"/>
      <c r="L32" s="40"/>
      <c r="M32" s="40"/>
      <c r="N32" s="40">
        <v>1</v>
      </c>
      <c r="O32" s="42">
        <v>43521</v>
      </c>
      <c r="P32" s="64">
        <f t="shared" si="0"/>
        <v>198</v>
      </c>
      <c r="Q32" s="39">
        <v>1</v>
      </c>
      <c r="R32" s="39">
        <v>1</v>
      </c>
      <c r="S32" s="39">
        <v>1</v>
      </c>
      <c r="T32" s="39">
        <v>75</v>
      </c>
      <c r="U32" s="39">
        <v>0</v>
      </c>
      <c r="V32" s="39">
        <v>1</v>
      </c>
      <c r="W32" s="39">
        <v>0</v>
      </c>
      <c r="X32" s="39">
        <v>0</v>
      </c>
      <c r="Y32" s="39">
        <v>1</v>
      </c>
      <c r="Z32" s="39">
        <v>0</v>
      </c>
      <c r="AA32" s="39">
        <v>0</v>
      </c>
      <c r="AB32" s="39">
        <v>0</v>
      </c>
      <c r="AC32" s="39">
        <v>0</v>
      </c>
      <c r="AD32" s="39">
        <v>0</v>
      </c>
      <c r="AE32" s="39">
        <v>0</v>
      </c>
      <c r="AF32" s="39">
        <v>1</v>
      </c>
      <c r="AG32" s="39">
        <v>0</v>
      </c>
      <c r="AH32" s="39">
        <v>0</v>
      </c>
      <c r="AI32" s="39">
        <v>0</v>
      </c>
      <c r="AJ32" s="39">
        <v>0</v>
      </c>
      <c r="AK32" s="39">
        <v>0</v>
      </c>
      <c r="AL32" s="39">
        <v>1</v>
      </c>
      <c r="AM32" s="39">
        <v>0</v>
      </c>
      <c r="AN32" s="39">
        <v>53</v>
      </c>
      <c r="AO32" s="39">
        <v>160</v>
      </c>
      <c r="AP32" s="39">
        <v>20.7</v>
      </c>
      <c r="AQ32" s="39">
        <v>36.799999999999997</v>
      </c>
      <c r="AR32" s="39">
        <v>134</v>
      </c>
      <c r="AS32" s="39">
        <v>57</v>
      </c>
      <c r="AT32" s="39">
        <v>1</v>
      </c>
      <c r="AU32">
        <v>0</v>
      </c>
      <c r="AV32" s="39">
        <v>31</v>
      </c>
      <c r="AW32" s="43">
        <v>43323</v>
      </c>
      <c r="AX32" s="43">
        <v>43323</v>
      </c>
      <c r="AY32" s="39">
        <v>0</v>
      </c>
      <c r="AZ32" s="43">
        <v>43320</v>
      </c>
      <c r="BA32" s="39">
        <v>1</v>
      </c>
      <c r="BB32" s="39">
        <v>0</v>
      </c>
      <c r="BC32" s="39">
        <v>0</v>
      </c>
      <c r="BD32" s="39">
        <v>1</v>
      </c>
      <c r="BE32" s="39">
        <v>0</v>
      </c>
      <c r="BF32" s="39">
        <v>0</v>
      </c>
      <c r="BG32" s="39">
        <v>0</v>
      </c>
      <c r="BH32" s="39">
        <v>1</v>
      </c>
      <c r="BI32" s="39">
        <v>0</v>
      </c>
      <c r="BJ32">
        <v>0</v>
      </c>
      <c r="BK32">
        <v>0</v>
      </c>
      <c r="BL32">
        <v>0</v>
      </c>
      <c r="BM32" s="66">
        <v>0</v>
      </c>
      <c r="BN32" s="39">
        <v>1</v>
      </c>
      <c r="BO32">
        <v>0</v>
      </c>
      <c r="BP32" s="66">
        <f t="shared" si="12"/>
        <v>1</v>
      </c>
      <c r="BQ32">
        <v>0</v>
      </c>
      <c r="BR32">
        <v>0</v>
      </c>
      <c r="BS32">
        <v>0</v>
      </c>
      <c r="BT32">
        <v>0</v>
      </c>
      <c r="BU32" s="66">
        <f t="shared" si="13"/>
        <v>0</v>
      </c>
      <c r="BV32" s="39">
        <v>1</v>
      </c>
      <c r="BW32">
        <v>0</v>
      </c>
      <c r="BX32" s="66">
        <f t="shared" si="3"/>
        <v>1</v>
      </c>
      <c r="BY32">
        <v>0</v>
      </c>
      <c r="BZ32">
        <f t="shared" si="4"/>
        <v>0</v>
      </c>
      <c r="CA32" s="39">
        <v>0</v>
      </c>
      <c r="CB32" s="39">
        <v>0</v>
      </c>
      <c r="CD32" s="39">
        <v>0</v>
      </c>
      <c r="CE32" s="39">
        <v>0</v>
      </c>
      <c r="CF32" s="39">
        <v>0</v>
      </c>
      <c r="CG32" s="39">
        <v>0</v>
      </c>
      <c r="CH32" s="39">
        <v>0</v>
      </c>
      <c r="CI32" s="39">
        <v>0</v>
      </c>
      <c r="CJ32" s="39">
        <v>0</v>
      </c>
      <c r="CK32" s="39">
        <v>0</v>
      </c>
      <c r="CL32" s="39">
        <v>0</v>
      </c>
      <c r="CM32" s="39">
        <v>0</v>
      </c>
      <c r="CN32" s="39">
        <v>0</v>
      </c>
      <c r="CO32">
        <f t="shared" si="7"/>
        <v>0</v>
      </c>
      <c r="CP32" s="39">
        <v>0</v>
      </c>
      <c r="CQ32" s="39">
        <v>0</v>
      </c>
      <c r="CR32" s="39">
        <v>1</v>
      </c>
      <c r="CS32" s="39">
        <v>0</v>
      </c>
      <c r="CT32" s="39">
        <v>0</v>
      </c>
      <c r="CU32" s="39">
        <v>0</v>
      </c>
      <c r="CV32" s="39">
        <v>0</v>
      </c>
      <c r="CW32" s="31"/>
      <c r="CX32" s="39">
        <v>1</v>
      </c>
      <c r="CY32">
        <v>0</v>
      </c>
      <c r="DA32" s="43">
        <v>43323</v>
      </c>
      <c r="DB32" s="66">
        <f t="shared" si="5"/>
        <v>3</v>
      </c>
      <c r="DC32" s="39" t="s">
        <v>1</v>
      </c>
      <c r="DD32" s="39">
        <v>0</v>
      </c>
      <c r="DE32" s="43">
        <v>43332</v>
      </c>
      <c r="DF32" s="39">
        <v>10</v>
      </c>
      <c r="DG32" s="43">
        <v>43324</v>
      </c>
      <c r="DH32" s="39">
        <v>11</v>
      </c>
      <c r="DI32" s="39">
        <v>11</v>
      </c>
      <c r="DJ32" s="39">
        <v>0.8</v>
      </c>
      <c r="DK32" s="80">
        <v>214</v>
      </c>
      <c r="DM32" s="39">
        <v>86</v>
      </c>
      <c r="DO32" s="39">
        <v>2</v>
      </c>
      <c r="DP32" s="39">
        <v>214</v>
      </c>
      <c r="DR32" s="39">
        <v>118</v>
      </c>
      <c r="DS32" s="39">
        <v>12</v>
      </c>
      <c r="DU32" s="39">
        <v>67</v>
      </c>
      <c r="DW32" s="43">
        <v>43323</v>
      </c>
      <c r="DX32" s="39">
        <v>12.7</v>
      </c>
      <c r="DY32" s="39">
        <v>13.4</v>
      </c>
      <c r="DZ32">
        <v>1</v>
      </c>
      <c r="EA32" s="39">
        <v>13</v>
      </c>
      <c r="EB32">
        <v>0</v>
      </c>
      <c r="EC32" s="39">
        <v>1.4</v>
      </c>
      <c r="ED32" s="39">
        <v>2.02</v>
      </c>
      <c r="EE32">
        <v>1</v>
      </c>
      <c r="EF32" s="39">
        <v>2.02</v>
      </c>
      <c r="EG32">
        <v>1</v>
      </c>
      <c r="EH32" s="39">
        <v>100</v>
      </c>
      <c r="EI32" s="62">
        <v>1.72</v>
      </c>
      <c r="EJ32" s="39">
        <v>172</v>
      </c>
      <c r="EK32">
        <v>0</v>
      </c>
      <c r="EL32">
        <f t="shared" si="6"/>
        <v>72</v>
      </c>
      <c r="EM32" s="39">
        <v>172</v>
      </c>
      <c r="EN32">
        <v>0</v>
      </c>
      <c r="EO32" s="39">
        <v>0.23</v>
      </c>
      <c r="ER32" s="39">
        <v>16</v>
      </c>
      <c r="ES32" s="39">
        <v>31</v>
      </c>
      <c r="ET32" s="39">
        <v>23</v>
      </c>
      <c r="EU32" s="39">
        <v>13</v>
      </c>
      <c r="EV32" s="39">
        <v>56</v>
      </c>
      <c r="EW32" s="39">
        <v>115</v>
      </c>
      <c r="EX32" s="39">
        <v>28</v>
      </c>
      <c r="EY32" s="39">
        <v>14</v>
      </c>
      <c r="FC32" s="39">
        <v>1</v>
      </c>
      <c r="FD32" s="39">
        <v>0</v>
      </c>
      <c r="FF32" s="39">
        <v>1</v>
      </c>
      <c r="FG32">
        <v>1</v>
      </c>
      <c r="FH32" s="43">
        <v>43325</v>
      </c>
      <c r="FI32" s="43"/>
      <c r="FJ32" s="43"/>
      <c r="FK32">
        <v>0</v>
      </c>
      <c r="FL32">
        <v>0</v>
      </c>
      <c r="FM32"/>
      <c r="FN32"/>
      <c r="FO32">
        <v>0</v>
      </c>
      <c r="FQ32" s="44">
        <v>43323</v>
      </c>
      <c r="FR32" s="44" t="s">
        <v>230</v>
      </c>
      <c r="FS32" s="45">
        <v>0</v>
      </c>
      <c r="FT32" s="45">
        <v>0</v>
      </c>
      <c r="FU32" s="45">
        <v>1</v>
      </c>
      <c r="FV32" s="45">
        <v>0</v>
      </c>
      <c r="FW32" s="45">
        <v>1</v>
      </c>
      <c r="FX32" s="45">
        <v>0</v>
      </c>
      <c r="FY32" s="45">
        <v>0</v>
      </c>
      <c r="FZ32" s="45">
        <v>0</v>
      </c>
      <c r="GA32" s="45">
        <v>1</v>
      </c>
      <c r="GB32" s="45">
        <v>1</v>
      </c>
      <c r="GC32" s="45">
        <v>0</v>
      </c>
      <c r="GD32" s="45">
        <v>1</v>
      </c>
      <c r="GE32" s="45">
        <v>1</v>
      </c>
      <c r="GF32" s="45">
        <v>0</v>
      </c>
      <c r="GG32" s="45">
        <v>0</v>
      </c>
      <c r="GH32" s="45">
        <v>0</v>
      </c>
      <c r="GI32" s="45">
        <v>1</v>
      </c>
      <c r="GJ32" s="45">
        <v>0</v>
      </c>
      <c r="GK32" s="45">
        <v>0</v>
      </c>
      <c r="GL32" s="45">
        <v>0</v>
      </c>
      <c r="GM32" s="45">
        <v>1</v>
      </c>
      <c r="GN32" s="45">
        <v>0</v>
      </c>
      <c r="GO32" s="45">
        <v>1</v>
      </c>
      <c r="GP32" s="45">
        <v>1</v>
      </c>
      <c r="GQ32" s="45">
        <v>0</v>
      </c>
      <c r="GR32" s="45">
        <v>1</v>
      </c>
      <c r="GS32" s="45">
        <v>0</v>
      </c>
      <c r="GT32" s="45">
        <v>1</v>
      </c>
      <c r="GU32" s="45">
        <v>0</v>
      </c>
      <c r="GV32" s="45">
        <v>1</v>
      </c>
      <c r="GW32" s="45">
        <v>0</v>
      </c>
      <c r="GX32" s="45" t="s">
        <v>232</v>
      </c>
      <c r="GY32" s="15">
        <v>0</v>
      </c>
      <c r="GZ32" s="15">
        <v>0</v>
      </c>
      <c r="HA32" s="45">
        <v>0</v>
      </c>
      <c r="HB32" s="45">
        <v>0</v>
      </c>
      <c r="HC32" s="45">
        <v>1</v>
      </c>
      <c r="HD32" s="45" t="s">
        <v>234</v>
      </c>
      <c r="HE32" s="45">
        <v>1</v>
      </c>
      <c r="HF32" s="45">
        <v>1</v>
      </c>
      <c r="HG32" s="45">
        <v>0</v>
      </c>
      <c r="HH32" s="45"/>
      <c r="HI32" s="45">
        <v>0</v>
      </c>
      <c r="HJ32" s="45">
        <v>1</v>
      </c>
      <c r="HK32" s="45">
        <v>1</v>
      </c>
      <c r="HL32" s="45">
        <v>1</v>
      </c>
      <c r="HM32" s="45">
        <v>0</v>
      </c>
      <c r="HN32" s="45">
        <v>0</v>
      </c>
      <c r="HO32" s="45">
        <v>1</v>
      </c>
      <c r="HP32" s="45">
        <v>0</v>
      </c>
      <c r="HQ32" s="45">
        <v>0</v>
      </c>
      <c r="HR32" s="45">
        <v>0</v>
      </c>
      <c r="HS32" s="45">
        <v>0</v>
      </c>
      <c r="HT32" s="45">
        <v>1</v>
      </c>
      <c r="HU32" s="45">
        <v>1</v>
      </c>
      <c r="HV32" s="45">
        <v>0</v>
      </c>
      <c r="HW32" s="45">
        <v>0</v>
      </c>
      <c r="HX32" s="45">
        <v>0</v>
      </c>
      <c r="HY32" s="45"/>
      <c r="HZ32" s="45"/>
      <c r="IA32" s="45"/>
      <c r="IB32" s="45"/>
      <c r="IC32" s="45"/>
      <c r="ID32" s="45"/>
      <c r="IE32" s="45"/>
      <c r="IF32" s="45"/>
      <c r="IG32" s="45"/>
      <c r="IH32" s="45"/>
      <c r="II32" s="45"/>
      <c r="IJ32" s="45"/>
      <c r="IK32" s="45"/>
      <c r="IL32" s="45"/>
      <c r="IM32" s="45"/>
      <c r="IN32" s="45"/>
      <c r="IO32" s="45"/>
      <c r="IP32" s="45"/>
      <c r="IQ32" s="45"/>
      <c r="IR32" s="45"/>
      <c r="IS32" s="45"/>
      <c r="IT32" s="45"/>
      <c r="IU32" s="45"/>
      <c r="IV32" s="45"/>
      <c r="IW32" s="45"/>
      <c r="IX32" s="45"/>
      <c r="IY32" s="45"/>
      <c r="IZ32" s="45"/>
      <c r="JA32" s="45"/>
      <c r="JB32" s="45"/>
      <c r="JC32" s="45"/>
      <c r="JD32" s="45"/>
      <c r="JE32" s="45"/>
      <c r="JF32" s="45"/>
      <c r="JG32" s="45"/>
      <c r="JH32" s="45"/>
      <c r="JI32" s="45"/>
      <c r="JJ32" s="45"/>
      <c r="JK32" s="45"/>
      <c r="JL32" s="45"/>
      <c r="JM32" s="45"/>
      <c r="JN32" s="45"/>
      <c r="JO32" s="45"/>
      <c r="JP32" s="45"/>
      <c r="JQ32" s="45"/>
      <c r="JR32" s="45"/>
      <c r="JS32" s="45"/>
      <c r="JT32" s="45"/>
      <c r="JU32" s="45"/>
      <c r="JV32" s="45"/>
      <c r="JW32" s="45"/>
      <c r="JX32" s="45"/>
      <c r="JY32" s="45"/>
      <c r="JZ32" s="45"/>
      <c r="KA32" s="45"/>
      <c r="KB32" s="45"/>
      <c r="KC32" s="45"/>
      <c r="KD32" s="45"/>
      <c r="KE32" s="45"/>
      <c r="KF32" s="45"/>
      <c r="KG32"/>
      <c r="KH32"/>
      <c r="KI32">
        <v>0</v>
      </c>
      <c r="KJ32">
        <v>0</v>
      </c>
      <c r="KK32">
        <v>1</v>
      </c>
      <c r="KL32">
        <v>0</v>
      </c>
      <c r="KM32">
        <v>1</v>
      </c>
      <c r="KN32">
        <v>0</v>
      </c>
      <c r="KO32">
        <v>0</v>
      </c>
      <c r="KP32">
        <v>0</v>
      </c>
      <c r="KQ32">
        <v>1</v>
      </c>
      <c r="KR32">
        <v>1</v>
      </c>
      <c r="KS32">
        <v>0</v>
      </c>
      <c r="KT32">
        <v>1</v>
      </c>
      <c r="KU32">
        <v>1</v>
      </c>
      <c r="KV32">
        <v>0</v>
      </c>
      <c r="KW32">
        <v>0</v>
      </c>
      <c r="KX32">
        <v>0</v>
      </c>
      <c r="KY32">
        <v>1</v>
      </c>
      <c r="KZ32">
        <v>0</v>
      </c>
      <c r="LA32">
        <v>0</v>
      </c>
      <c r="LB32">
        <v>0</v>
      </c>
      <c r="LC32">
        <v>1</v>
      </c>
      <c r="LD32">
        <v>0</v>
      </c>
      <c r="LE32">
        <v>1</v>
      </c>
      <c r="LF32">
        <v>1</v>
      </c>
      <c r="LG32">
        <v>0</v>
      </c>
      <c r="LH32">
        <v>1</v>
      </c>
      <c r="LI32">
        <v>0</v>
      </c>
      <c r="LJ32">
        <v>1</v>
      </c>
      <c r="LK32">
        <v>0</v>
      </c>
      <c r="LL32">
        <v>1</v>
      </c>
      <c r="LM32">
        <v>0</v>
      </c>
      <c r="LN32"/>
      <c r="LO32">
        <v>0</v>
      </c>
      <c r="LP32">
        <v>0</v>
      </c>
      <c r="LQ32">
        <v>0</v>
      </c>
      <c r="LR32">
        <v>0</v>
      </c>
      <c r="LS32">
        <v>1</v>
      </c>
      <c r="LT32"/>
      <c r="LU32">
        <v>1</v>
      </c>
      <c r="LV32">
        <v>1</v>
      </c>
      <c r="LW32">
        <v>0</v>
      </c>
      <c r="LX32">
        <v>0</v>
      </c>
      <c r="LY32">
        <v>0</v>
      </c>
      <c r="LZ32">
        <v>1</v>
      </c>
      <c r="MA32">
        <v>1</v>
      </c>
      <c r="MB32">
        <v>1</v>
      </c>
      <c r="MC32">
        <v>0</v>
      </c>
      <c r="MD32">
        <v>0</v>
      </c>
      <c r="ME32">
        <v>1</v>
      </c>
      <c r="MF32">
        <v>0</v>
      </c>
      <c r="MG32">
        <v>0</v>
      </c>
      <c r="MH32">
        <v>0</v>
      </c>
      <c r="MI32">
        <v>0</v>
      </c>
      <c r="MJ32">
        <v>1</v>
      </c>
      <c r="MK32">
        <v>1</v>
      </c>
      <c r="ML32">
        <v>0</v>
      </c>
      <c r="MM32">
        <v>0</v>
      </c>
      <c r="MN32">
        <v>0</v>
      </c>
      <c r="MO32">
        <v>1</v>
      </c>
      <c r="MP32">
        <v>0</v>
      </c>
      <c r="MQ32">
        <v>1</v>
      </c>
      <c r="MR32">
        <v>1</v>
      </c>
    </row>
    <row r="33" spans="1:358" s="39" customFormat="1" ht="18" x14ac:dyDescent="0.25">
      <c r="A33" t="s">
        <v>425</v>
      </c>
      <c r="B33" s="40">
        <v>54</v>
      </c>
      <c r="C33" s="40">
        <v>0</v>
      </c>
      <c r="D33" s="40">
        <v>0</v>
      </c>
      <c r="E33" s="40"/>
      <c r="F33" s="55">
        <v>2390</v>
      </c>
      <c r="G33" s="55"/>
      <c r="H33" s="57">
        <v>0</v>
      </c>
      <c r="I33" s="57">
        <v>0</v>
      </c>
      <c r="J33" s="57"/>
      <c r="K33" s="40"/>
      <c r="L33" s="40"/>
      <c r="M33" s="40"/>
      <c r="N33" s="40">
        <v>0</v>
      </c>
      <c r="O33" s="42">
        <v>44963</v>
      </c>
      <c r="P33" s="64">
        <f t="shared" si="0"/>
        <v>2390</v>
      </c>
      <c r="Q33" s="39">
        <v>3</v>
      </c>
      <c r="R33" s="39">
        <v>1</v>
      </c>
      <c r="S33" s="39">
        <v>0</v>
      </c>
      <c r="T33" s="39">
        <v>93</v>
      </c>
      <c r="U33" s="39">
        <v>1</v>
      </c>
      <c r="V33" s="39">
        <v>1</v>
      </c>
      <c r="W33" s="39">
        <v>0</v>
      </c>
      <c r="X33" s="39">
        <v>0</v>
      </c>
      <c r="Y33" s="39">
        <v>0</v>
      </c>
      <c r="Z33" s="39">
        <v>0</v>
      </c>
      <c r="AA33" s="39">
        <v>0</v>
      </c>
      <c r="AB33" s="39">
        <v>0</v>
      </c>
      <c r="AC33" s="39">
        <v>0</v>
      </c>
      <c r="AD33" s="39">
        <v>0</v>
      </c>
      <c r="AE33" s="39">
        <v>0</v>
      </c>
      <c r="AF33" s="39">
        <v>0</v>
      </c>
      <c r="AG33" s="39">
        <v>0</v>
      </c>
      <c r="AH33" s="39">
        <v>0</v>
      </c>
      <c r="AI33" s="39">
        <v>0</v>
      </c>
      <c r="AJ33" s="39">
        <v>0</v>
      </c>
      <c r="AK33" s="39">
        <v>0</v>
      </c>
      <c r="AL33" s="39">
        <v>0</v>
      </c>
      <c r="AM33" s="39">
        <v>0</v>
      </c>
      <c r="AN33" s="39">
        <v>96</v>
      </c>
      <c r="AO33" s="39">
        <v>180</v>
      </c>
      <c r="AP33" s="39">
        <v>29.6</v>
      </c>
      <c r="AQ33" s="39">
        <v>37.1</v>
      </c>
      <c r="AR33" s="39">
        <v>140</v>
      </c>
      <c r="AS33" s="39">
        <v>70</v>
      </c>
      <c r="AT33" s="39">
        <v>2</v>
      </c>
      <c r="AU33">
        <v>0</v>
      </c>
      <c r="AV33" s="39">
        <v>66</v>
      </c>
      <c r="AW33" s="43">
        <v>42573</v>
      </c>
      <c r="AX33" s="43">
        <v>42573</v>
      </c>
      <c r="AY33" s="39">
        <v>0</v>
      </c>
      <c r="AZ33" s="43">
        <v>42572</v>
      </c>
      <c r="BA33" s="39">
        <v>1</v>
      </c>
      <c r="BB33" s="39">
        <v>0</v>
      </c>
      <c r="BC33" s="39">
        <v>1</v>
      </c>
      <c r="BD33" s="39">
        <v>1</v>
      </c>
      <c r="BE33" s="39">
        <v>0</v>
      </c>
      <c r="BF33" s="39">
        <v>0</v>
      </c>
      <c r="BG33" s="39">
        <v>0</v>
      </c>
      <c r="BH33" s="39">
        <v>1</v>
      </c>
      <c r="BI33" s="39">
        <v>1</v>
      </c>
      <c r="BJ33" s="78">
        <v>0</v>
      </c>
      <c r="BK33" s="78">
        <v>0</v>
      </c>
      <c r="BL33" s="78">
        <v>0</v>
      </c>
      <c r="BM33" s="66">
        <v>1</v>
      </c>
      <c r="BN33" s="78">
        <v>1</v>
      </c>
      <c r="BO33" s="78">
        <v>2</v>
      </c>
      <c r="BP33" s="78">
        <v>4</v>
      </c>
      <c r="BQ33" s="78">
        <v>1</v>
      </c>
      <c r="BR33" s="78">
        <v>0</v>
      </c>
      <c r="BS33" s="78">
        <v>0</v>
      </c>
      <c r="BT33" s="78">
        <v>0</v>
      </c>
      <c r="BU33" s="78">
        <v>1</v>
      </c>
      <c r="BV33" s="78">
        <v>1</v>
      </c>
      <c r="BW33" s="78">
        <v>1</v>
      </c>
      <c r="BX33" s="66">
        <f t="shared" si="3"/>
        <v>3</v>
      </c>
      <c r="BY33" s="78">
        <v>0</v>
      </c>
      <c r="BZ33">
        <v>1</v>
      </c>
      <c r="CA33" s="39">
        <v>1</v>
      </c>
      <c r="CB33" s="39">
        <v>0</v>
      </c>
      <c r="CD33" s="39">
        <v>0</v>
      </c>
      <c r="CE33" s="39">
        <v>0</v>
      </c>
      <c r="CF33" s="39">
        <v>0</v>
      </c>
      <c r="CG33" s="39">
        <v>0</v>
      </c>
      <c r="CH33" s="39">
        <v>0</v>
      </c>
      <c r="CI33" s="39">
        <v>0</v>
      </c>
      <c r="CJ33" s="39">
        <v>0</v>
      </c>
      <c r="CK33" s="39">
        <v>0</v>
      </c>
      <c r="CL33" s="39">
        <v>0</v>
      </c>
      <c r="CM33" s="39">
        <v>0</v>
      </c>
      <c r="CN33" s="39">
        <v>0</v>
      </c>
      <c r="CO33">
        <f t="shared" si="7"/>
        <v>0</v>
      </c>
      <c r="CP33" s="39">
        <v>0</v>
      </c>
      <c r="CQ33" s="39">
        <v>0</v>
      </c>
      <c r="CR33" s="39">
        <v>0</v>
      </c>
      <c r="CS33" s="39">
        <v>0</v>
      </c>
      <c r="CT33" s="39">
        <v>0</v>
      </c>
      <c r="CU33" s="39">
        <v>0</v>
      </c>
      <c r="CV33" s="39">
        <v>0</v>
      </c>
      <c r="CW33" s="31"/>
      <c r="CX33" s="39">
        <v>1</v>
      </c>
      <c r="CY33">
        <v>0</v>
      </c>
      <c r="DA33" s="43">
        <v>42574</v>
      </c>
      <c r="DB33" s="66">
        <f t="shared" si="5"/>
        <v>2</v>
      </c>
      <c r="DC33" s="39" t="s">
        <v>1</v>
      </c>
      <c r="DD33" s="39">
        <v>0</v>
      </c>
      <c r="DE33" s="43">
        <v>42584</v>
      </c>
      <c r="DF33" s="39">
        <v>11</v>
      </c>
      <c r="DG33" s="43">
        <v>42574</v>
      </c>
      <c r="DH33" s="39">
        <v>16</v>
      </c>
      <c r="DI33" s="39">
        <v>15.3</v>
      </c>
      <c r="DJ33" s="39">
        <v>2.6</v>
      </c>
      <c r="DK33" s="80">
        <v>126</v>
      </c>
      <c r="DL33" s="39">
        <v>3</v>
      </c>
      <c r="DM33" s="39">
        <v>48</v>
      </c>
      <c r="DO33" s="39">
        <v>2</v>
      </c>
      <c r="DP33" s="39">
        <v>130</v>
      </c>
      <c r="DR33" s="39">
        <v>126</v>
      </c>
      <c r="DS33" s="39">
        <v>13.4</v>
      </c>
      <c r="DT33" s="39">
        <v>293</v>
      </c>
      <c r="DU33" s="39">
        <v>70</v>
      </c>
      <c r="DV33" s="39">
        <v>183</v>
      </c>
      <c r="DW33" s="43">
        <v>42573</v>
      </c>
      <c r="DX33" s="39">
        <v>19.899999999999999</v>
      </c>
      <c r="DY33" s="39">
        <v>17.5</v>
      </c>
      <c r="DZ33">
        <v>1</v>
      </c>
      <c r="EA33" s="39">
        <v>19.899999999999999</v>
      </c>
      <c r="EB33">
        <v>1</v>
      </c>
      <c r="EC33" s="39">
        <v>8.9</v>
      </c>
      <c r="ED33" s="39">
        <v>2.02</v>
      </c>
      <c r="EE33">
        <v>1</v>
      </c>
      <c r="EF33" s="39">
        <v>8.9</v>
      </c>
      <c r="EG33">
        <v>1</v>
      </c>
      <c r="EH33" s="39">
        <v>108</v>
      </c>
      <c r="EI33" s="62">
        <v>1.93518518518519</v>
      </c>
      <c r="EJ33" s="39">
        <v>209</v>
      </c>
      <c r="EK33" s="39">
        <v>1</v>
      </c>
      <c r="EL33">
        <f t="shared" si="6"/>
        <v>101</v>
      </c>
      <c r="EM33" s="39">
        <v>209</v>
      </c>
      <c r="EN33" s="39">
        <v>1</v>
      </c>
      <c r="EO33" s="39">
        <v>3.47</v>
      </c>
      <c r="EP33" s="39">
        <v>2.73</v>
      </c>
      <c r="ER33" s="39">
        <v>22</v>
      </c>
      <c r="ES33" s="39">
        <v>42</v>
      </c>
      <c r="ET33" s="39">
        <v>22</v>
      </c>
      <c r="EU33" s="39">
        <v>11</v>
      </c>
      <c r="EV33" s="39">
        <v>52</v>
      </c>
      <c r="EW33" s="39">
        <v>59</v>
      </c>
      <c r="EX33" s="39">
        <v>20</v>
      </c>
      <c r="EY33" s="39">
        <v>8</v>
      </c>
      <c r="FB33">
        <v>1</v>
      </c>
      <c r="FC33" s="39">
        <v>1</v>
      </c>
      <c r="FD33" s="39">
        <v>0</v>
      </c>
      <c r="FF33" s="39">
        <v>1</v>
      </c>
      <c r="FG33">
        <v>0</v>
      </c>
      <c r="FK33">
        <v>0</v>
      </c>
      <c r="FL33">
        <v>0</v>
      </c>
      <c r="FM33"/>
      <c r="FN33"/>
      <c r="FO33">
        <v>0</v>
      </c>
      <c r="FQ33" s="44">
        <v>42573</v>
      </c>
      <c r="FR33" s="44" t="s">
        <v>230</v>
      </c>
      <c r="FS33" s="45">
        <v>1</v>
      </c>
      <c r="FT33" s="45">
        <v>0</v>
      </c>
      <c r="FU33" s="45">
        <v>1</v>
      </c>
      <c r="FV33" s="45">
        <v>1</v>
      </c>
      <c r="FW33" s="45">
        <v>1</v>
      </c>
      <c r="FX33" s="45">
        <v>0</v>
      </c>
      <c r="FY33" s="45">
        <v>0</v>
      </c>
      <c r="FZ33" s="45">
        <v>0</v>
      </c>
      <c r="GA33" s="45">
        <v>1</v>
      </c>
      <c r="GB33" s="45">
        <v>1</v>
      </c>
      <c r="GC33" s="45">
        <v>1</v>
      </c>
      <c r="GD33" s="45">
        <v>1</v>
      </c>
      <c r="GE33" s="45">
        <v>1</v>
      </c>
      <c r="GF33" s="45">
        <v>1</v>
      </c>
      <c r="GG33" s="45">
        <v>1</v>
      </c>
      <c r="GH33" s="45">
        <v>1</v>
      </c>
      <c r="GI33" s="45">
        <v>1</v>
      </c>
      <c r="GJ33" s="45">
        <v>0</v>
      </c>
      <c r="GK33" s="45">
        <v>0</v>
      </c>
      <c r="GL33" s="45">
        <v>0</v>
      </c>
      <c r="GM33" s="45">
        <v>0</v>
      </c>
      <c r="GN33" s="45">
        <v>1</v>
      </c>
      <c r="GO33" s="45">
        <v>1</v>
      </c>
      <c r="GP33" s="45">
        <v>0</v>
      </c>
      <c r="GQ33" s="45">
        <v>1</v>
      </c>
      <c r="GR33" s="45">
        <v>1</v>
      </c>
      <c r="GS33" s="45">
        <v>1</v>
      </c>
      <c r="GT33" s="45">
        <v>0</v>
      </c>
      <c r="GU33" s="45">
        <v>1</v>
      </c>
      <c r="GV33" s="45">
        <v>0</v>
      </c>
      <c r="GW33" s="45">
        <v>0</v>
      </c>
      <c r="GX33" s="45">
        <v>0</v>
      </c>
      <c r="GY33" s="15">
        <v>0</v>
      </c>
      <c r="GZ33" s="15">
        <v>0</v>
      </c>
      <c r="HA33" s="45">
        <v>0</v>
      </c>
      <c r="HB33" s="45">
        <v>1</v>
      </c>
      <c r="HC33" s="45">
        <v>0</v>
      </c>
      <c r="HD33" s="45">
        <v>0</v>
      </c>
      <c r="HE33" s="15">
        <v>0</v>
      </c>
      <c r="HF33" s="15">
        <v>0</v>
      </c>
      <c r="HG33" s="45">
        <v>0</v>
      </c>
      <c r="HH33" s="45">
        <v>1</v>
      </c>
      <c r="HI33" s="45">
        <v>1</v>
      </c>
      <c r="HJ33" s="45">
        <v>1</v>
      </c>
      <c r="HK33" s="45">
        <v>0</v>
      </c>
      <c r="HL33" s="45">
        <v>1</v>
      </c>
      <c r="HM33" s="45">
        <v>0</v>
      </c>
      <c r="HN33" s="45">
        <v>1</v>
      </c>
      <c r="HO33" s="45">
        <v>1</v>
      </c>
      <c r="HP33" s="45">
        <v>0</v>
      </c>
      <c r="HQ33" s="45">
        <v>0</v>
      </c>
      <c r="HR33" s="45">
        <v>0</v>
      </c>
      <c r="HS33" s="45">
        <v>0</v>
      </c>
      <c r="HT33" s="45">
        <v>1</v>
      </c>
      <c r="HU33" s="45">
        <v>0</v>
      </c>
      <c r="HV33" s="45">
        <v>0</v>
      </c>
      <c r="HW33" s="45">
        <v>0</v>
      </c>
      <c r="HX33" s="45">
        <v>1</v>
      </c>
      <c r="HY33" s="44">
        <v>42604</v>
      </c>
      <c r="HZ33" s="45" t="s">
        <v>231</v>
      </c>
      <c r="IA33" s="45">
        <v>0</v>
      </c>
      <c r="IB33" s="45">
        <v>0</v>
      </c>
      <c r="IC33" s="45">
        <v>1</v>
      </c>
      <c r="ID33" s="45">
        <v>0</v>
      </c>
      <c r="IE33" s="45">
        <v>1</v>
      </c>
      <c r="IF33" s="45">
        <v>0</v>
      </c>
      <c r="IG33" s="45">
        <v>0</v>
      </c>
      <c r="IH33" s="45">
        <v>0</v>
      </c>
      <c r="II33" s="45">
        <v>0</v>
      </c>
      <c r="IJ33" s="45">
        <v>1</v>
      </c>
      <c r="IK33" s="45">
        <v>0</v>
      </c>
      <c r="IL33" s="45">
        <v>0</v>
      </c>
      <c r="IM33" s="45">
        <v>1</v>
      </c>
      <c r="IN33" s="45">
        <v>0</v>
      </c>
      <c r="IO33" s="45">
        <v>0</v>
      </c>
      <c r="IP33" s="45">
        <v>0</v>
      </c>
      <c r="IQ33" s="45">
        <v>1</v>
      </c>
      <c r="IR33" s="45">
        <v>0</v>
      </c>
      <c r="IS33" s="45">
        <v>0</v>
      </c>
      <c r="IT33" s="45">
        <v>1</v>
      </c>
      <c r="IU33" s="45">
        <v>0</v>
      </c>
      <c r="IV33" s="45">
        <v>0</v>
      </c>
      <c r="IW33" s="45">
        <v>1</v>
      </c>
      <c r="IX33" s="45">
        <v>0</v>
      </c>
      <c r="IY33" s="45">
        <v>1</v>
      </c>
      <c r="IZ33" s="45">
        <v>0</v>
      </c>
      <c r="JA33" s="45">
        <v>1</v>
      </c>
      <c r="JB33" s="45">
        <v>1</v>
      </c>
      <c r="JC33" s="45">
        <v>1</v>
      </c>
      <c r="JD33" s="45">
        <v>0</v>
      </c>
      <c r="JE33" s="45">
        <v>0</v>
      </c>
      <c r="JF33" s="45">
        <v>0</v>
      </c>
      <c r="JG33" s="15">
        <v>0</v>
      </c>
      <c r="JH33" s="15">
        <v>0</v>
      </c>
      <c r="JI33" s="45">
        <v>0</v>
      </c>
      <c r="JJ33" s="45">
        <v>1</v>
      </c>
      <c r="JK33" s="45">
        <v>0</v>
      </c>
      <c r="JL33" s="45">
        <v>0</v>
      </c>
      <c r="JM33" s="15">
        <v>0</v>
      </c>
      <c r="JN33" s="15">
        <v>0</v>
      </c>
      <c r="JO33" s="45">
        <v>0</v>
      </c>
      <c r="JP33" s="45">
        <v>1</v>
      </c>
      <c r="JQ33" s="45">
        <v>0</v>
      </c>
      <c r="JR33" s="45">
        <v>0</v>
      </c>
      <c r="JS33" s="45">
        <v>0</v>
      </c>
      <c r="JT33" s="45">
        <v>0</v>
      </c>
      <c r="JU33" s="45">
        <v>0</v>
      </c>
      <c r="JV33" s="45">
        <v>0</v>
      </c>
      <c r="JW33" s="45">
        <v>1</v>
      </c>
      <c r="JX33" s="45">
        <v>0</v>
      </c>
      <c r="JY33" s="45">
        <v>0</v>
      </c>
      <c r="JZ33" s="45">
        <v>0</v>
      </c>
      <c r="KA33" s="45">
        <v>0</v>
      </c>
      <c r="KB33" s="45">
        <v>0</v>
      </c>
      <c r="KC33" s="45">
        <v>0</v>
      </c>
      <c r="KD33" s="45">
        <v>0</v>
      </c>
      <c r="KE33" s="45">
        <v>0</v>
      </c>
      <c r="KF33" s="45">
        <v>1</v>
      </c>
      <c r="KG33"/>
      <c r="KH33"/>
      <c r="KI33">
        <v>1</v>
      </c>
      <c r="KJ33">
        <v>0</v>
      </c>
      <c r="KK33">
        <v>1</v>
      </c>
      <c r="KL33">
        <v>1</v>
      </c>
      <c r="KM33">
        <v>1</v>
      </c>
      <c r="KN33">
        <v>0</v>
      </c>
      <c r="KO33">
        <v>0</v>
      </c>
      <c r="KP33">
        <v>0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0</v>
      </c>
      <c r="LA33">
        <v>0</v>
      </c>
      <c r="LB33">
        <v>1</v>
      </c>
      <c r="LC33">
        <v>0</v>
      </c>
      <c r="LD33">
        <v>1</v>
      </c>
      <c r="LE33">
        <v>1</v>
      </c>
      <c r="LF33">
        <v>0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1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1</v>
      </c>
      <c r="LY33">
        <v>1</v>
      </c>
      <c r="LZ33">
        <v>1</v>
      </c>
      <c r="MA33">
        <v>0</v>
      </c>
      <c r="MB33">
        <v>1</v>
      </c>
      <c r="MC33">
        <v>0</v>
      </c>
      <c r="MD33">
        <v>1</v>
      </c>
      <c r="ME33">
        <v>1</v>
      </c>
      <c r="MF33">
        <v>0</v>
      </c>
      <c r="MG33">
        <v>0</v>
      </c>
      <c r="MH33">
        <v>0</v>
      </c>
      <c r="MI33">
        <v>0</v>
      </c>
      <c r="MJ33">
        <v>1</v>
      </c>
      <c r="MK33">
        <v>0</v>
      </c>
      <c r="ML33">
        <v>0</v>
      </c>
      <c r="MM33">
        <v>0</v>
      </c>
      <c r="MN33">
        <v>1</v>
      </c>
      <c r="MO33">
        <v>1</v>
      </c>
      <c r="MP33">
        <v>0</v>
      </c>
      <c r="MQ33">
        <v>1</v>
      </c>
      <c r="MR33">
        <v>1</v>
      </c>
      <c r="MS33">
        <v>0</v>
      </c>
      <c r="MT33">
        <v>1</v>
      </c>
    </row>
    <row r="34" spans="1:358" ht="18" x14ac:dyDescent="0.25">
      <c r="A34" t="s">
        <v>426</v>
      </c>
      <c r="B34" s="3">
        <v>29</v>
      </c>
      <c r="C34" s="3">
        <v>1</v>
      </c>
      <c r="D34" s="3">
        <v>1</v>
      </c>
      <c r="E34" s="26">
        <v>44560</v>
      </c>
      <c r="F34" s="61">
        <v>1</v>
      </c>
      <c r="G34" s="61"/>
      <c r="H34" s="57">
        <v>0</v>
      </c>
      <c r="I34" s="57"/>
      <c r="J34" s="58"/>
      <c r="K34" s="2">
        <v>44560</v>
      </c>
      <c r="L34" s="64">
        <v>1</v>
      </c>
      <c r="M34" s="2">
        <v>44631</v>
      </c>
      <c r="N34" s="3">
        <v>0</v>
      </c>
      <c r="O34" s="2">
        <v>45033</v>
      </c>
      <c r="P34" s="64">
        <f t="shared" si="0"/>
        <v>474</v>
      </c>
      <c r="Q34">
        <v>1</v>
      </c>
      <c r="R34">
        <v>1</v>
      </c>
      <c r="S34">
        <v>0</v>
      </c>
      <c r="T34">
        <v>91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55</v>
      </c>
      <c r="AO34">
        <v>158</v>
      </c>
      <c r="AP34">
        <v>22</v>
      </c>
      <c r="AQ34">
        <v>36</v>
      </c>
      <c r="AR34">
        <v>138</v>
      </c>
      <c r="AS34">
        <v>78</v>
      </c>
      <c r="AT34">
        <v>3</v>
      </c>
      <c r="AU34">
        <v>1</v>
      </c>
      <c r="AV34">
        <v>51</v>
      </c>
      <c r="AW34" s="1">
        <v>44559</v>
      </c>
      <c r="AX34" s="1">
        <v>44559</v>
      </c>
      <c r="AY34">
        <v>0</v>
      </c>
      <c r="AZ34" s="1">
        <v>44553</v>
      </c>
      <c r="BA34">
        <v>1</v>
      </c>
      <c r="BB34">
        <v>1</v>
      </c>
      <c r="BC34">
        <v>0</v>
      </c>
      <c r="BD34">
        <v>1</v>
      </c>
      <c r="BE34">
        <v>0</v>
      </c>
      <c r="BF34">
        <v>1</v>
      </c>
      <c r="BG34">
        <v>0</v>
      </c>
      <c r="BH34">
        <v>1</v>
      </c>
      <c r="BI34">
        <v>1</v>
      </c>
      <c r="BJ34">
        <v>0</v>
      </c>
      <c r="BK34">
        <v>0</v>
      </c>
      <c r="BL34">
        <v>0</v>
      </c>
      <c r="BM34" s="66">
        <v>0</v>
      </c>
      <c r="BN34">
        <v>1</v>
      </c>
      <c r="BO34">
        <v>0</v>
      </c>
      <c r="BP34" s="66">
        <f t="shared" ref="BP34:BP35" si="15">BJ34+BK34+BL34+BM34+BN34+BO34</f>
        <v>1</v>
      </c>
      <c r="BQ34">
        <v>0</v>
      </c>
      <c r="BR34">
        <v>0</v>
      </c>
      <c r="BS34">
        <v>3</v>
      </c>
      <c r="BT34">
        <v>0</v>
      </c>
      <c r="BU34" s="66">
        <f t="shared" ref="BU34:BU35" si="16">BM34</f>
        <v>0</v>
      </c>
      <c r="BV34">
        <v>1</v>
      </c>
      <c r="BW34">
        <v>0</v>
      </c>
      <c r="BX34" s="66">
        <f t="shared" si="3"/>
        <v>4</v>
      </c>
      <c r="BY34" s="39">
        <v>1</v>
      </c>
      <c r="BZ34">
        <v>1</v>
      </c>
      <c r="CA34">
        <v>1</v>
      </c>
      <c r="CB34">
        <v>1</v>
      </c>
      <c r="CD34">
        <v>0</v>
      </c>
      <c r="CE34">
        <v>1</v>
      </c>
      <c r="CF34">
        <v>1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Y34">
        <v>0</v>
      </c>
      <c r="DA34" s="1">
        <v>44561</v>
      </c>
      <c r="DB34" s="66">
        <f t="shared" si="5"/>
        <v>8</v>
      </c>
      <c r="DC34" t="s">
        <v>1</v>
      </c>
      <c r="DD34">
        <v>0</v>
      </c>
      <c r="DE34" s="1">
        <v>44574</v>
      </c>
      <c r="DF34">
        <v>14</v>
      </c>
      <c r="DG34" s="1">
        <v>44560</v>
      </c>
      <c r="DH34">
        <v>13</v>
      </c>
      <c r="DI34">
        <v>46.3</v>
      </c>
      <c r="DJ34">
        <v>1</v>
      </c>
      <c r="DK34" s="66">
        <v>266</v>
      </c>
      <c r="DL34">
        <v>3</v>
      </c>
      <c r="DM34">
        <v>50</v>
      </c>
      <c r="DN34">
        <v>3243</v>
      </c>
      <c r="DO34">
        <v>2</v>
      </c>
      <c r="DP34">
        <v>266</v>
      </c>
      <c r="DQ34">
        <v>3243</v>
      </c>
      <c r="DR34">
        <v>125</v>
      </c>
      <c r="DS34">
        <v>4.9000000000000004</v>
      </c>
      <c r="DU34">
        <v>205</v>
      </c>
      <c r="DV34">
        <v>266</v>
      </c>
      <c r="DW34" s="1">
        <v>44559</v>
      </c>
      <c r="DX34">
        <v>21</v>
      </c>
      <c r="DY34">
        <v>32</v>
      </c>
      <c r="DZ34">
        <v>1</v>
      </c>
      <c r="EA34">
        <v>40</v>
      </c>
      <c r="EB34">
        <v>1</v>
      </c>
      <c r="EC34">
        <v>6</v>
      </c>
      <c r="ED34">
        <v>2</v>
      </c>
      <c r="EE34">
        <v>1</v>
      </c>
      <c r="EF34">
        <v>6</v>
      </c>
      <c r="EG34">
        <v>1</v>
      </c>
      <c r="EH34">
        <v>49</v>
      </c>
      <c r="EI34" s="62">
        <v>2.12244897959184</v>
      </c>
      <c r="EJ34">
        <v>104</v>
      </c>
      <c r="EK34">
        <v>0</v>
      </c>
      <c r="EL34">
        <f t="shared" si="6"/>
        <v>55</v>
      </c>
      <c r="EM34">
        <v>216</v>
      </c>
      <c r="EN34" s="39">
        <v>1</v>
      </c>
      <c r="EO34">
        <v>1</v>
      </c>
      <c r="ER34">
        <v>15</v>
      </c>
      <c r="ES34">
        <v>161</v>
      </c>
      <c r="ET34">
        <v>52</v>
      </c>
      <c r="EU34">
        <v>31</v>
      </c>
      <c r="EV34">
        <v>35</v>
      </c>
      <c r="EW34">
        <v>41</v>
      </c>
      <c r="EX34">
        <v>16</v>
      </c>
      <c r="EY34">
        <v>9</v>
      </c>
      <c r="FA34">
        <v>7.31</v>
      </c>
      <c r="FB34">
        <v>1</v>
      </c>
      <c r="FC34">
        <v>1</v>
      </c>
      <c r="FD34">
        <v>0</v>
      </c>
      <c r="FF34">
        <v>1</v>
      </c>
      <c r="FG34">
        <v>0</v>
      </c>
      <c r="FI34"/>
      <c r="FK34">
        <v>0</v>
      </c>
      <c r="FL34">
        <v>1</v>
      </c>
      <c r="FM34">
        <v>160</v>
      </c>
      <c r="FN34">
        <v>100</v>
      </c>
      <c r="FO34">
        <v>0</v>
      </c>
      <c r="FQ34" s="22">
        <v>44560</v>
      </c>
      <c r="FR34" s="22" t="s">
        <v>230</v>
      </c>
      <c r="FS34" s="15">
        <v>1</v>
      </c>
      <c r="FT34" s="15">
        <v>0</v>
      </c>
      <c r="FU34" s="15">
        <v>1</v>
      </c>
      <c r="FV34" s="15">
        <v>0</v>
      </c>
      <c r="FW34" s="15">
        <v>1</v>
      </c>
      <c r="FX34" s="15">
        <v>1</v>
      </c>
      <c r="FY34" s="15">
        <v>1</v>
      </c>
      <c r="FZ34" s="15">
        <v>1</v>
      </c>
      <c r="GA34" s="15">
        <v>1</v>
      </c>
      <c r="GB34" s="15">
        <v>1</v>
      </c>
      <c r="GC34" s="15">
        <v>1</v>
      </c>
      <c r="GD34" s="15">
        <v>1</v>
      </c>
      <c r="GE34" s="15">
        <v>1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1</v>
      </c>
      <c r="GL34" s="15">
        <v>0</v>
      </c>
      <c r="GM34" s="15">
        <v>0</v>
      </c>
      <c r="GN34" s="15">
        <v>1</v>
      </c>
      <c r="GO34" s="15">
        <v>1</v>
      </c>
      <c r="GP34" s="15">
        <v>0</v>
      </c>
      <c r="GQ34" s="15">
        <v>1</v>
      </c>
      <c r="GR34" s="15">
        <v>1</v>
      </c>
      <c r="GS34" s="15">
        <v>1</v>
      </c>
      <c r="GT34" s="15">
        <v>0</v>
      </c>
      <c r="GU34" s="15">
        <v>1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1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1</v>
      </c>
      <c r="HI34" s="15">
        <v>1</v>
      </c>
      <c r="HJ34" s="15">
        <v>1</v>
      </c>
      <c r="HK34" s="15">
        <v>0</v>
      </c>
      <c r="HL34" s="15">
        <v>1</v>
      </c>
      <c r="HM34" s="15">
        <v>0</v>
      </c>
      <c r="HN34" s="15">
        <v>0</v>
      </c>
      <c r="HO34" s="15">
        <v>1</v>
      </c>
      <c r="HP34" s="15">
        <v>0</v>
      </c>
      <c r="HQ34" s="15">
        <v>0</v>
      </c>
      <c r="HR34" s="15">
        <v>0</v>
      </c>
      <c r="HS34" s="15">
        <v>0</v>
      </c>
      <c r="HT34" s="15">
        <v>1</v>
      </c>
      <c r="HU34" s="15">
        <v>1</v>
      </c>
      <c r="HV34" s="15">
        <v>0</v>
      </c>
      <c r="HW34" s="15">
        <v>1</v>
      </c>
      <c r="HX34" s="15">
        <v>0</v>
      </c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  <c r="IN34" s="15"/>
      <c r="IO34" s="15"/>
      <c r="IP34" s="15"/>
      <c r="IQ34" s="15"/>
      <c r="IR34" s="15"/>
      <c r="IS34" s="15"/>
      <c r="IT34" s="15"/>
      <c r="IU34" s="15"/>
      <c r="IV34" s="15"/>
      <c r="IW34" s="15"/>
      <c r="IX34" s="15"/>
      <c r="IY34" s="15"/>
      <c r="IZ34" s="15"/>
      <c r="JA34" s="15"/>
      <c r="JB34" s="15"/>
      <c r="JC34" s="15"/>
      <c r="JD34" s="15"/>
      <c r="JE34" s="15"/>
      <c r="JF34" s="15"/>
      <c r="JG34" s="15"/>
      <c r="JH34" s="15"/>
      <c r="JI34" s="15"/>
      <c r="JJ34" s="15"/>
      <c r="JK34" s="15"/>
      <c r="JL34" s="15"/>
      <c r="JM34" s="15"/>
      <c r="JN34" s="15"/>
      <c r="JO34" s="15"/>
      <c r="JP34" s="15"/>
      <c r="JQ34" s="15"/>
      <c r="JR34" s="15"/>
      <c r="JS34" s="15"/>
      <c r="JT34" s="15"/>
      <c r="JU34" s="15"/>
      <c r="JV34" s="15"/>
      <c r="JW34" s="15"/>
      <c r="JX34" s="15"/>
      <c r="JY34" s="15"/>
      <c r="JZ34" s="15"/>
      <c r="KA34" s="15"/>
      <c r="KB34" s="15"/>
      <c r="KC34" s="15"/>
      <c r="KD34" s="15"/>
      <c r="KE34" s="15"/>
      <c r="KF34" s="15"/>
      <c r="KI34">
        <v>1</v>
      </c>
      <c r="KJ34">
        <v>0</v>
      </c>
      <c r="KK34">
        <v>1</v>
      </c>
      <c r="KL34">
        <v>0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1</v>
      </c>
      <c r="LB34">
        <v>0</v>
      </c>
      <c r="LC34">
        <v>0</v>
      </c>
      <c r="LD34">
        <v>1</v>
      </c>
      <c r="LE34">
        <v>1</v>
      </c>
      <c r="LF34">
        <v>0</v>
      </c>
      <c r="LG34">
        <v>1</v>
      </c>
      <c r="LH34">
        <v>1</v>
      </c>
      <c r="LI34">
        <v>1</v>
      </c>
      <c r="LJ34">
        <v>0</v>
      </c>
      <c r="LK34">
        <v>1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1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1</v>
      </c>
      <c r="LY34">
        <v>1</v>
      </c>
      <c r="LZ34">
        <v>1</v>
      </c>
      <c r="MA34">
        <v>0</v>
      </c>
      <c r="MB34">
        <v>1</v>
      </c>
      <c r="MC34">
        <v>0</v>
      </c>
      <c r="MD34">
        <v>0</v>
      </c>
      <c r="ME34">
        <v>1</v>
      </c>
      <c r="MF34">
        <v>0</v>
      </c>
      <c r="MG34">
        <v>0</v>
      </c>
      <c r="MH34">
        <v>0</v>
      </c>
      <c r="MI34">
        <v>0</v>
      </c>
      <c r="MJ34">
        <v>1</v>
      </c>
      <c r="MK34">
        <v>1</v>
      </c>
      <c r="ML34">
        <v>0</v>
      </c>
      <c r="MM34">
        <v>1</v>
      </c>
      <c r="MN34">
        <v>0</v>
      </c>
      <c r="MO34">
        <v>1</v>
      </c>
      <c r="MP34">
        <v>0</v>
      </c>
      <c r="MQ34">
        <v>1</v>
      </c>
      <c r="MR34">
        <v>1</v>
      </c>
    </row>
    <row r="35" spans="1:358" ht="18" x14ac:dyDescent="0.25">
      <c r="A35" t="s">
        <v>427</v>
      </c>
      <c r="B35" s="3">
        <v>39</v>
      </c>
      <c r="C35" s="3">
        <v>0</v>
      </c>
      <c r="D35" s="3">
        <v>0</v>
      </c>
      <c r="E35" s="3"/>
      <c r="F35" s="55">
        <v>608</v>
      </c>
      <c r="G35" s="55"/>
      <c r="H35" s="57">
        <v>0</v>
      </c>
      <c r="I35" s="57">
        <v>0</v>
      </c>
      <c r="J35" s="57"/>
      <c r="K35" s="3"/>
      <c r="L35" s="3"/>
      <c r="M35" s="3"/>
      <c r="N35" s="3">
        <v>0</v>
      </c>
      <c r="O35" s="2">
        <v>45068</v>
      </c>
      <c r="P35" s="64">
        <f t="shared" si="0"/>
        <v>608</v>
      </c>
      <c r="Q35">
        <v>1</v>
      </c>
      <c r="R35">
        <v>0</v>
      </c>
      <c r="S35">
        <v>0</v>
      </c>
      <c r="T35">
        <v>77</v>
      </c>
      <c r="U35">
        <v>1</v>
      </c>
      <c r="V35">
        <v>1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120</v>
      </c>
      <c r="AO35">
        <v>174</v>
      </c>
      <c r="AP35">
        <v>39.6</v>
      </c>
      <c r="AQ35">
        <v>37.299999999999997</v>
      </c>
      <c r="AR35">
        <v>139</v>
      </c>
      <c r="AS35">
        <v>90</v>
      </c>
      <c r="AT35">
        <v>3</v>
      </c>
      <c r="AU35">
        <v>1</v>
      </c>
      <c r="AV35">
        <v>122</v>
      </c>
      <c r="AW35" s="1">
        <v>44460</v>
      </c>
      <c r="AX35" s="1">
        <v>44460</v>
      </c>
      <c r="AY35">
        <v>0</v>
      </c>
      <c r="AZ35" s="1">
        <v>44459</v>
      </c>
      <c r="BA35">
        <v>1</v>
      </c>
      <c r="BB35">
        <v>1</v>
      </c>
      <c r="BC35">
        <v>1</v>
      </c>
      <c r="BD35">
        <v>1</v>
      </c>
      <c r="BE35">
        <v>0</v>
      </c>
      <c r="BF35">
        <v>1</v>
      </c>
      <c r="BG35">
        <v>0</v>
      </c>
      <c r="BH35">
        <v>0</v>
      </c>
      <c r="BI35">
        <v>1</v>
      </c>
      <c r="BJ35">
        <v>0</v>
      </c>
      <c r="BK35">
        <v>0</v>
      </c>
      <c r="BL35">
        <v>0</v>
      </c>
      <c r="BM35" s="66">
        <v>0</v>
      </c>
      <c r="BN35">
        <v>0</v>
      </c>
      <c r="BO35">
        <v>1</v>
      </c>
      <c r="BP35" s="66">
        <f t="shared" si="15"/>
        <v>1</v>
      </c>
      <c r="BQ35">
        <v>0</v>
      </c>
      <c r="BR35">
        <v>0</v>
      </c>
      <c r="BS35">
        <v>3</v>
      </c>
      <c r="BT35">
        <v>0</v>
      </c>
      <c r="BU35" s="66">
        <f t="shared" si="16"/>
        <v>0</v>
      </c>
      <c r="BV35">
        <v>0</v>
      </c>
      <c r="BW35">
        <v>1</v>
      </c>
      <c r="BX35" s="66">
        <f t="shared" si="3"/>
        <v>4</v>
      </c>
      <c r="BY35" s="39">
        <v>1</v>
      </c>
      <c r="BZ35">
        <v>1</v>
      </c>
      <c r="CA35">
        <v>1</v>
      </c>
      <c r="CB35">
        <v>1</v>
      </c>
      <c r="CC35">
        <v>2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1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</v>
      </c>
      <c r="CY35">
        <v>0</v>
      </c>
      <c r="DA35" s="1">
        <v>44464</v>
      </c>
      <c r="DB35" s="66">
        <f t="shared" si="5"/>
        <v>5</v>
      </c>
      <c r="DC35" t="s">
        <v>1</v>
      </c>
      <c r="DD35">
        <v>0</v>
      </c>
      <c r="DE35" s="1">
        <v>44470</v>
      </c>
      <c r="DF35">
        <v>7</v>
      </c>
      <c r="DG35" s="1">
        <v>44461</v>
      </c>
      <c r="DH35">
        <v>15</v>
      </c>
      <c r="DI35">
        <v>8.1999999999999993</v>
      </c>
      <c r="DJ35">
        <v>0.3</v>
      </c>
      <c r="DK35" s="66">
        <v>196</v>
      </c>
      <c r="DL35">
        <v>4</v>
      </c>
      <c r="DM35">
        <v>67</v>
      </c>
      <c r="DO35">
        <v>1</v>
      </c>
      <c r="DP35">
        <v>196</v>
      </c>
      <c r="DR35">
        <v>58</v>
      </c>
      <c r="DV35">
        <v>4</v>
      </c>
      <c r="DW35" s="1">
        <v>44460</v>
      </c>
      <c r="DX35">
        <v>9</v>
      </c>
      <c r="DY35">
        <v>6</v>
      </c>
      <c r="DZ35">
        <v>0</v>
      </c>
      <c r="EA35">
        <v>9</v>
      </c>
      <c r="EB35">
        <v>0</v>
      </c>
      <c r="EC35">
        <v>1.3</v>
      </c>
      <c r="ED35">
        <v>0.97</v>
      </c>
      <c r="EE35">
        <v>0</v>
      </c>
      <c r="EF35">
        <v>1.3</v>
      </c>
      <c r="EG35">
        <v>0</v>
      </c>
      <c r="EH35">
        <v>82</v>
      </c>
      <c r="EI35" s="62">
        <v>1.9390243902438999</v>
      </c>
      <c r="EJ35">
        <v>159</v>
      </c>
      <c r="EK35">
        <v>0</v>
      </c>
      <c r="EL35">
        <f t="shared" si="6"/>
        <v>77</v>
      </c>
      <c r="EM35">
        <v>176</v>
      </c>
      <c r="EN35">
        <v>0</v>
      </c>
      <c r="ER35">
        <v>24</v>
      </c>
      <c r="ET35">
        <v>68</v>
      </c>
      <c r="EU35">
        <v>83</v>
      </c>
      <c r="EV35">
        <v>498</v>
      </c>
      <c r="EW35">
        <v>77</v>
      </c>
      <c r="EX35">
        <v>62</v>
      </c>
      <c r="EY35">
        <v>15</v>
      </c>
      <c r="FA35" t="s">
        <v>270</v>
      </c>
      <c r="FB35">
        <v>0</v>
      </c>
      <c r="FC35">
        <v>0</v>
      </c>
      <c r="FF35">
        <v>0</v>
      </c>
      <c r="FG35">
        <v>0</v>
      </c>
      <c r="FI35"/>
      <c r="FK35">
        <v>0</v>
      </c>
      <c r="FL35">
        <v>0</v>
      </c>
      <c r="FO35">
        <v>0</v>
      </c>
      <c r="FQ35" s="22">
        <v>44461</v>
      </c>
      <c r="FR35" s="22" t="s">
        <v>230</v>
      </c>
      <c r="FS35" s="15">
        <v>1</v>
      </c>
      <c r="FT35" s="15">
        <v>1</v>
      </c>
      <c r="FU35" s="15">
        <v>1</v>
      </c>
      <c r="FV35" s="15">
        <v>0</v>
      </c>
      <c r="FW35" s="15">
        <v>1</v>
      </c>
      <c r="FX35" s="15">
        <v>0</v>
      </c>
      <c r="FY35" s="15">
        <v>0</v>
      </c>
      <c r="FZ35" s="15">
        <v>0</v>
      </c>
      <c r="GA35" s="15">
        <v>0</v>
      </c>
      <c r="GB35" s="15">
        <v>1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1</v>
      </c>
      <c r="GJ35" s="15">
        <v>0</v>
      </c>
      <c r="GK35" s="15">
        <v>0</v>
      </c>
      <c r="GL35" s="15">
        <v>0</v>
      </c>
      <c r="GM35" s="15">
        <v>0</v>
      </c>
      <c r="GN35" s="15">
        <v>1</v>
      </c>
      <c r="GO35" s="15">
        <v>1</v>
      </c>
      <c r="GP35" s="15">
        <v>0</v>
      </c>
      <c r="GQ35" s="15">
        <v>1</v>
      </c>
      <c r="GR35" s="15">
        <v>1</v>
      </c>
      <c r="GS35" s="15">
        <v>1</v>
      </c>
      <c r="GT35" s="15">
        <v>1</v>
      </c>
      <c r="GU35" s="15">
        <v>1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1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1</v>
      </c>
      <c r="HI35" s="15">
        <v>1</v>
      </c>
      <c r="HJ35" s="15">
        <v>1</v>
      </c>
      <c r="HK35" s="15">
        <v>0</v>
      </c>
      <c r="HL35" s="15">
        <v>1</v>
      </c>
      <c r="HM35" s="15">
        <v>0</v>
      </c>
      <c r="HN35" s="15">
        <v>0</v>
      </c>
      <c r="HO35" s="15">
        <v>1</v>
      </c>
      <c r="HP35" s="15">
        <v>0</v>
      </c>
      <c r="HQ35" s="15">
        <v>0</v>
      </c>
      <c r="HR35" s="15">
        <v>0</v>
      </c>
      <c r="HS35" s="15">
        <v>0</v>
      </c>
      <c r="HT35" s="15">
        <v>1</v>
      </c>
      <c r="HU35" s="15">
        <v>0</v>
      </c>
      <c r="HV35" s="15">
        <v>0</v>
      </c>
      <c r="HW35" s="15">
        <v>1</v>
      </c>
      <c r="HX35" s="15">
        <v>1</v>
      </c>
      <c r="HY35" s="22">
        <v>44468</v>
      </c>
      <c r="HZ35" s="15" t="s">
        <v>231</v>
      </c>
      <c r="IA35" s="15">
        <v>1</v>
      </c>
      <c r="IB35" s="15">
        <v>0</v>
      </c>
      <c r="IC35" s="15">
        <v>1</v>
      </c>
      <c r="ID35" s="15">
        <v>0</v>
      </c>
      <c r="IE35" s="15">
        <v>1</v>
      </c>
      <c r="IF35" s="15">
        <v>0</v>
      </c>
      <c r="IG35" s="15">
        <v>0</v>
      </c>
      <c r="IH35" s="15">
        <v>0</v>
      </c>
      <c r="II35" s="15">
        <v>0</v>
      </c>
      <c r="IJ35" s="15">
        <v>1</v>
      </c>
      <c r="IK35" s="15">
        <v>0</v>
      </c>
      <c r="IL35" s="15">
        <v>0</v>
      </c>
      <c r="IM35" s="15">
        <v>0</v>
      </c>
      <c r="IN35" s="15">
        <v>0</v>
      </c>
      <c r="IO35" s="15">
        <v>0</v>
      </c>
      <c r="IP35" s="15">
        <v>0</v>
      </c>
      <c r="IQ35" s="15">
        <v>1</v>
      </c>
      <c r="IR35" s="15">
        <v>0</v>
      </c>
      <c r="IS35" s="15">
        <v>0</v>
      </c>
      <c r="IT35" s="15">
        <v>0</v>
      </c>
      <c r="IU35" s="15">
        <v>0</v>
      </c>
      <c r="IV35" s="15">
        <v>1</v>
      </c>
      <c r="IW35" s="15">
        <v>1</v>
      </c>
      <c r="IX35" s="15">
        <v>0</v>
      </c>
      <c r="IY35" s="15">
        <v>1</v>
      </c>
      <c r="IZ35" s="15">
        <v>1</v>
      </c>
      <c r="JA35" s="15">
        <v>1</v>
      </c>
      <c r="JB35" s="15">
        <v>1</v>
      </c>
      <c r="JC35" s="15">
        <v>1</v>
      </c>
      <c r="JD35" s="15">
        <v>0</v>
      </c>
      <c r="JE35" s="15">
        <v>0</v>
      </c>
      <c r="JF35" s="15">
        <v>0</v>
      </c>
      <c r="JG35" s="15">
        <v>0</v>
      </c>
      <c r="JH35" s="15">
        <v>0</v>
      </c>
      <c r="JI35" s="15">
        <v>0</v>
      </c>
      <c r="JJ35" s="15">
        <v>1</v>
      </c>
      <c r="JK35" s="15">
        <v>0</v>
      </c>
      <c r="JL35" s="15">
        <v>0</v>
      </c>
      <c r="JM35" s="15">
        <v>0</v>
      </c>
      <c r="JN35" s="15">
        <v>0</v>
      </c>
      <c r="JO35" s="15">
        <v>0</v>
      </c>
      <c r="JP35" s="15">
        <v>0</v>
      </c>
      <c r="JQ35" s="15">
        <v>1</v>
      </c>
      <c r="JR35" s="15">
        <v>1</v>
      </c>
      <c r="JS35" s="15">
        <v>0</v>
      </c>
      <c r="JT35" s="15">
        <v>1</v>
      </c>
      <c r="JU35" s="15">
        <v>0</v>
      </c>
      <c r="JV35" s="15">
        <v>0</v>
      </c>
      <c r="JW35" s="15">
        <v>1</v>
      </c>
      <c r="JX35" s="15">
        <v>0</v>
      </c>
      <c r="JY35" s="15">
        <v>0</v>
      </c>
      <c r="JZ35" s="15">
        <v>0</v>
      </c>
      <c r="KA35" s="15">
        <v>0</v>
      </c>
      <c r="KB35" s="15">
        <v>1</v>
      </c>
      <c r="KC35" s="15">
        <v>0</v>
      </c>
      <c r="KD35" s="15">
        <v>0</v>
      </c>
      <c r="KE35" s="15">
        <v>1</v>
      </c>
      <c r="KF35" s="15">
        <v>1</v>
      </c>
      <c r="KI35">
        <v>1</v>
      </c>
      <c r="KJ35">
        <v>1</v>
      </c>
      <c r="KK35">
        <v>1</v>
      </c>
      <c r="KL35">
        <v>0</v>
      </c>
      <c r="KM35">
        <v>1</v>
      </c>
      <c r="KN35">
        <v>0</v>
      </c>
      <c r="KO35">
        <v>0</v>
      </c>
      <c r="KP35">
        <v>0</v>
      </c>
      <c r="KQ35">
        <v>0</v>
      </c>
      <c r="KR35">
        <v>1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1</v>
      </c>
      <c r="KZ35">
        <v>0</v>
      </c>
      <c r="LA35">
        <v>0</v>
      </c>
      <c r="LB35">
        <v>0</v>
      </c>
      <c r="LC35">
        <v>0</v>
      </c>
      <c r="LD35">
        <v>1</v>
      </c>
      <c r="LE35">
        <v>1</v>
      </c>
      <c r="LF35">
        <v>0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1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1</v>
      </c>
      <c r="LY35">
        <v>1</v>
      </c>
      <c r="LZ35">
        <v>1</v>
      </c>
      <c r="MA35">
        <v>0</v>
      </c>
      <c r="MB35">
        <v>1</v>
      </c>
      <c r="MC35">
        <v>0</v>
      </c>
      <c r="MD35">
        <v>0</v>
      </c>
      <c r="ME35">
        <v>1</v>
      </c>
      <c r="MF35">
        <v>0</v>
      </c>
      <c r="MG35">
        <v>0</v>
      </c>
      <c r="MH35">
        <v>0</v>
      </c>
      <c r="MI35">
        <v>0</v>
      </c>
      <c r="MJ35">
        <v>1</v>
      </c>
      <c r="MK35">
        <v>0</v>
      </c>
      <c r="ML35">
        <v>0</v>
      </c>
      <c r="MM35">
        <v>1</v>
      </c>
      <c r="MN35">
        <v>1</v>
      </c>
      <c r="MO35">
        <v>1</v>
      </c>
      <c r="MP35">
        <v>0</v>
      </c>
      <c r="MQ35">
        <v>1</v>
      </c>
      <c r="MR35">
        <v>1</v>
      </c>
      <c r="MS35">
        <v>1</v>
      </c>
      <c r="MT35">
        <v>0</v>
      </c>
    </row>
    <row r="36" spans="1:358" s="39" customFormat="1" ht="18" x14ac:dyDescent="0.25">
      <c r="A36" t="s">
        <v>428</v>
      </c>
      <c r="B36" s="40">
        <v>48</v>
      </c>
      <c r="C36" s="40">
        <v>0</v>
      </c>
      <c r="D36" s="40">
        <v>1</v>
      </c>
      <c r="E36" s="41">
        <v>42619</v>
      </c>
      <c r="F36" s="61">
        <v>0</v>
      </c>
      <c r="G36" s="61"/>
      <c r="H36" s="57">
        <v>1</v>
      </c>
      <c r="I36" s="57">
        <v>1</v>
      </c>
      <c r="J36" s="57">
        <v>0</v>
      </c>
      <c r="K36" s="42">
        <v>42619</v>
      </c>
      <c r="L36" s="65">
        <v>1</v>
      </c>
      <c r="M36" s="42">
        <v>42677</v>
      </c>
      <c r="N36" s="40">
        <v>0</v>
      </c>
      <c r="O36" s="42">
        <v>45033</v>
      </c>
      <c r="P36" s="64">
        <f t="shared" si="0"/>
        <v>2414</v>
      </c>
      <c r="Q36" s="39">
        <v>4</v>
      </c>
      <c r="R36" s="39">
        <v>1</v>
      </c>
      <c r="S36" s="39">
        <v>1</v>
      </c>
      <c r="T36" s="39">
        <v>92</v>
      </c>
      <c r="U36" s="39">
        <v>1</v>
      </c>
      <c r="V36" s="39">
        <v>1</v>
      </c>
      <c r="W36" s="39">
        <v>0</v>
      </c>
      <c r="X36" s="39">
        <v>0</v>
      </c>
      <c r="Y36" s="39">
        <v>0</v>
      </c>
      <c r="Z36" s="39">
        <v>0</v>
      </c>
      <c r="AA36" s="39">
        <v>0</v>
      </c>
      <c r="AB36" s="39">
        <v>0</v>
      </c>
      <c r="AC36" s="39">
        <v>1</v>
      </c>
      <c r="AD36" s="39">
        <v>0</v>
      </c>
      <c r="AE36" s="39">
        <v>0</v>
      </c>
      <c r="AF36" s="39">
        <v>0</v>
      </c>
      <c r="AG36" s="39">
        <v>0</v>
      </c>
      <c r="AH36" s="39">
        <v>0</v>
      </c>
      <c r="AI36" s="39">
        <v>0</v>
      </c>
      <c r="AJ36" s="39">
        <v>0</v>
      </c>
      <c r="AK36" s="39">
        <v>0</v>
      </c>
      <c r="AL36" s="39">
        <v>0</v>
      </c>
      <c r="AM36" s="39">
        <v>0</v>
      </c>
      <c r="AN36" s="39">
        <v>80</v>
      </c>
      <c r="AO36" s="39">
        <v>185</v>
      </c>
      <c r="AP36" s="39">
        <v>23.4</v>
      </c>
      <c r="AQ36" s="39">
        <v>37</v>
      </c>
      <c r="AR36" s="39">
        <v>123</v>
      </c>
      <c r="AS36" s="39">
        <v>76</v>
      </c>
      <c r="AT36" s="39">
        <v>3</v>
      </c>
      <c r="AU36">
        <v>1</v>
      </c>
      <c r="AV36" s="39">
        <v>100</v>
      </c>
      <c r="AW36" s="43">
        <v>42619</v>
      </c>
      <c r="AX36" s="43">
        <v>42619</v>
      </c>
      <c r="AY36" s="39">
        <v>0</v>
      </c>
      <c r="AZ36" s="43">
        <v>42611</v>
      </c>
      <c r="BA36" s="39">
        <v>1</v>
      </c>
      <c r="BB36" s="39">
        <v>1</v>
      </c>
      <c r="BC36" s="39">
        <v>0</v>
      </c>
      <c r="BD36" s="39">
        <v>0</v>
      </c>
      <c r="BE36" s="39">
        <v>0</v>
      </c>
      <c r="BF36" s="39">
        <v>0</v>
      </c>
      <c r="BG36" s="39">
        <v>0</v>
      </c>
      <c r="BH36" s="39">
        <v>0</v>
      </c>
      <c r="BI36" s="39">
        <v>1</v>
      </c>
      <c r="BJ36" s="78">
        <v>0</v>
      </c>
      <c r="BK36" s="78">
        <v>1</v>
      </c>
      <c r="BL36" s="78">
        <v>0</v>
      </c>
      <c r="BM36" s="66">
        <v>0</v>
      </c>
      <c r="BN36" s="78">
        <v>0</v>
      </c>
      <c r="BO36" s="78">
        <v>2</v>
      </c>
      <c r="BP36" s="78">
        <v>3</v>
      </c>
      <c r="BQ36" s="78">
        <v>1</v>
      </c>
      <c r="BR36" s="78">
        <v>0</v>
      </c>
      <c r="BS36" s="78">
        <v>0</v>
      </c>
      <c r="BT36" s="78">
        <v>0</v>
      </c>
      <c r="BU36" s="78">
        <v>0</v>
      </c>
      <c r="BV36" s="78">
        <v>0</v>
      </c>
      <c r="BW36" s="78">
        <v>2</v>
      </c>
      <c r="BX36" s="66">
        <f t="shared" si="3"/>
        <v>2</v>
      </c>
      <c r="BY36" s="78">
        <v>1</v>
      </c>
      <c r="BZ36">
        <v>1</v>
      </c>
      <c r="CA36" s="39">
        <v>0</v>
      </c>
      <c r="CB36" s="39">
        <v>0</v>
      </c>
      <c r="CC36" s="39">
        <v>2</v>
      </c>
      <c r="CD36" s="39">
        <v>0</v>
      </c>
      <c r="CE36" s="39">
        <v>0</v>
      </c>
      <c r="CF36" s="39">
        <v>0</v>
      </c>
      <c r="CG36" s="39">
        <v>0</v>
      </c>
      <c r="CH36" s="39">
        <v>0</v>
      </c>
      <c r="CI36" s="39">
        <v>0</v>
      </c>
      <c r="CJ36" s="39">
        <v>0</v>
      </c>
      <c r="CK36" s="39">
        <v>0</v>
      </c>
      <c r="CL36" s="39">
        <v>0</v>
      </c>
      <c r="CM36" s="39">
        <v>0</v>
      </c>
      <c r="CN36" s="39">
        <v>0</v>
      </c>
      <c r="CO36">
        <f t="shared" si="7"/>
        <v>0</v>
      </c>
      <c r="CP36" s="39">
        <v>0</v>
      </c>
      <c r="CQ36" s="39">
        <v>1</v>
      </c>
      <c r="CR36" s="39">
        <v>0</v>
      </c>
      <c r="CS36" s="39">
        <v>0</v>
      </c>
      <c r="CT36" s="39">
        <v>0</v>
      </c>
      <c r="CU36" s="39">
        <v>0</v>
      </c>
      <c r="CV36" s="39">
        <v>0</v>
      </c>
      <c r="CW36" s="31"/>
      <c r="CY36">
        <v>0</v>
      </c>
      <c r="DA36" s="43">
        <v>42618</v>
      </c>
      <c r="DB36" s="66">
        <f t="shared" si="5"/>
        <v>7</v>
      </c>
      <c r="DC36" s="39" t="s">
        <v>3</v>
      </c>
      <c r="DD36" s="39">
        <v>1</v>
      </c>
      <c r="DE36" s="43">
        <v>42622</v>
      </c>
      <c r="DF36" s="39">
        <v>5</v>
      </c>
      <c r="DH36" s="39">
        <v>12.2</v>
      </c>
      <c r="DK36" s="80">
        <v>746</v>
      </c>
      <c r="DV36" s="39">
        <v>5</v>
      </c>
      <c r="DW36" s="43">
        <v>42618</v>
      </c>
      <c r="DX36" s="39">
        <v>12.8</v>
      </c>
      <c r="DY36" s="39">
        <v>22.7</v>
      </c>
      <c r="DZ36">
        <v>1</v>
      </c>
      <c r="EA36" s="39">
        <v>23.1</v>
      </c>
      <c r="EB36">
        <v>1</v>
      </c>
      <c r="EC36" s="39">
        <v>1.72</v>
      </c>
      <c r="ED36" s="39">
        <v>1.1299999999999999</v>
      </c>
      <c r="EE36">
        <v>0</v>
      </c>
      <c r="EF36" s="39">
        <v>1.72</v>
      </c>
      <c r="EG36">
        <v>0</v>
      </c>
      <c r="EH36" s="39">
        <v>36</v>
      </c>
      <c r="EI36" s="62">
        <v>4.3055555555555598</v>
      </c>
      <c r="EJ36" s="39">
        <v>155</v>
      </c>
      <c r="EK36">
        <v>0</v>
      </c>
      <c r="EL36">
        <f t="shared" si="6"/>
        <v>119</v>
      </c>
      <c r="EM36" s="39">
        <v>155</v>
      </c>
      <c r="EN36">
        <v>0</v>
      </c>
      <c r="EO36" s="39">
        <v>0.09</v>
      </c>
      <c r="EP36" s="39">
        <v>0.13</v>
      </c>
      <c r="EQ36" s="39">
        <v>0.13</v>
      </c>
      <c r="FA36" s="39">
        <v>7.65</v>
      </c>
      <c r="FC36" s="39">
        <v>1</v>
      </c>
      <c r="FD36" s="39">
        <v>1</v>
      </c>
      <c r="FE36" s="39" t="e">
        <f>#REF!</f>
        <v>#REF!</v>
      </c>
      <c r="FF36" s="39">
        <v>1</v>
      </c>
      <c r="FG36">
        <v>1</v>
      </c>
      <c r="FH36" s="43">
        <v>42630</v>
      </c>
      <c r="FI36" s="43"/>
      <c r="FJ36" s="43"/>
      <c r="FK36" s="39">
        <v>0</v>
      </c>
      <c r="FL36">
        <v>0</v>
      </c>
      <c r="FM36"/>
      <c r="FN36"/>
      <c r="FO36">
        <v>0</v>
      </c>
      <c r="FQ36" s="44">
        <v>42619</v>
      </c>
      <c r="FR36" s="44" t="s">
        <v>231</v>
      </c>
      <c r="FS36" s="45">
        <v>1</v>
      </c>
      <c r="FT36" s="45">
        <v>1</v>
      </c>
      <c r="FU36" s="45">
        <v>1</v>
      </c>
      <c r="FV36" s="45">
        <v>0</v>
      </c>
      <c r="FW36" s="45">
        <v>1</v>
      </c>
      <c r="FX36" s="45">
        <v>1</v>
      </c>
      <c r="FY36" s="45">
        <v>1</v>
      </c>
      <c r="FZ36" s="45">
        <v>0</v>
      </c>
      <c r="GA36" s="45">
        <v>0</v>
      </c>
      <c r="GB36" s="45">
        <v>1</v>
      </c>
      <c r="GC36" s="45">
        <v>1</v>
      </c>
      <c r="GD36" s="45">
        <v>1</v>
      </c>
      <c r="GE36" s="45">
        <v>1</v>
      </c>
      <c r="GF36" s="45">
        <v>0</v>
      </c>
      <c r="GG36" s="45">
        <v>1</v>
      </c>
      <c r="GH36" s="45">
        <v>1</v>
      </c>
      <c r="GI36" s="45">
        <v>0</v>
      </c>
      <c r="GJ36" s="45">
        <v>0</v>
      </c>
      <c r="GK36" s="45">
        <v>1</v>
      </c>
      <c r="GL36" s="45">
        <v>0</v>
      </c>
      <c r="GM36" s="45">
        <v>0</v>
      </c>
      <c r="GN36" s="45">
        <v>1</v>
      </c>
      <c r="GO36" s="45">
        <v>1</v>
      </c>
      <c r="GP36" s="45">
        <v>0</v>
      </c>
      <c r="GQ36" s="45">
        <v>1</v>
      </c>
      <c r="GR36" s="45">
        <v>1</v>
      </c>
      <c r="GS36" s="45">
        <v>1</v>
      </c>
      <c r="GT36" s="45">
        <v>1</v>
      </c>
      <c r="GU36" s="45">
        <v>1</v>
      </c>
      <c r="GV36" s="45">
        <v>0</v>
      </c>
      <c r="GW36" s="45">
        <v>0</v>
      </c>
      <c r="GX36" s="45">
        <v>0</v>
      </c>
      <c r="GY36" s="15">
        <v>0</v>
      </c>
      <c r="GZ36" s="15">
        <v>0</v>
      </c>
      <c r="HA36" s="45">
        <v>0</v>
      </c>
      <c r="HB36" s="45">
        <v>1</v>
      </c>
      <c r="HC36" s="45">
        <v>0</v>
      </c>
      <c r="HD36" s="45">
        <v>0</v>
      </c>
      <c r="HE36" s="15">
        <v>0</v>
      </c>
      <c r="HF36" s="15">
        <v>0</v>
      </c>
      <c r="HG36" s="45">
        <v>0</v>
      </c>
      <c r="HH36" s="45">
        <v>1</v>
      </c>
      <c r="HI36" s="45">
        <v>1</v>
      </c>
      <c r="HJ36" s="45">
        <v>1</v>
      </c>
      <c r="HK36" s="45">
        <v>0</v>
      </c>
      <c r="HL36" s="45">
        <v>1</v>
      </c>
      <c r="HM36" s="45">
        <v>0</v>
      </c>
      <c r="HN36" s="45">
        <v>1</v>
      </c>
      <c r="HO36" s="45">
        <v>1</v>
      </c>
      <c r="HP36" s="45">
        <v>0</v>
      </c>
      <c r="HQ36" s="45">
        <v>0</v>
      </c>
      <c r="HR36" s="45">
        <v>0</v>
      </c>
      <c r="HS36" s="45">
        <v>0</v>
      </c>
      <c r="HT36" s="45">
        <v>1</v>
      </c>
      <c r="HU36" s="45">
        <v>1</v>
      </c>
      <c r="HV36" s="45">
        <v>0</v>
      </c>
      <c r="HW36" s="45">
        <v>1</v>
      </c>
      <c r="HX36" s="45">
        <v>1</v>
      </c>
      <c r="HY36" s="45"/>
      <c r="HZ36" s="45"/>
      <c r="IA36" s="45"/>
      <c r="IB36" s="45"/>
      <c r="IC36" s="45"/>
      <c r="ID36" s="45"/>
      <c r="IE36" s="45"/>
      <c r="IF36" s="45"/>
      <c r="IG36" s="45"/>
      <c r="IH36" s="45"/>
      <c r="II36" s="45"/>
      <c r="IJ36" s="45"/>
      <c r="IK36" s="45"/>
      <c r="IL36" s="45"/>
      <c r="IM36" s="45"/>
      <c r="IN36" s="45"/>
      <c r="IO36" s="45"/>
      <c r="IP36" s="45"/>
      <c r="IQ36" s="45"/>
      <c r="IR36" s="45"/>
      <c r="IS36" s="45"/>
      <c r="IT36" s="45"/>
      <c r="IU36" s="45"/>
      <c r="IV36" s="45"/>
      <c r="IW36" s="45"/>
      <c r="IX36" s="45"/>
      <c r="IY36" s="45"/>
      <c r="IZ36" s="45"/>
      <c r="JA36" s="45"/>
      <c r="JB36" s="45"/>
      <c r="JC36" s="45"/>
      <c r="JD36" s="45"/>
      <c r="JE36" s="45"/>
      <c r="JF36" s="45"/>
      <c r="JG36" s="45"/>
      <c r="JH36" s="45"/>
      <c r="JI36" s="45"/>
      <c r="JJ36" s="45"/>
      <c r="JK36" s="45"/>
      <c r="JL36" s="45"/>
      <c r="JM36" s="45"/>
      <c r="JN36" s="45"/>
      <c r="JO36" s="45"/>
      <c r="JP36" s="45"/>
      <c r="JQ36" s="45"/>
      <c r="JR36" s="45"/>
      <c r="JS36" s="45"/>
      <c r="JT36" s="45"/>
      <c r="JU36" s="45"/>
      <c r="JV36" s="45"/>
      <c r="JW36" s="45"/>
      <c r="JX36" s="45"/>
      <c r="JY36" s="45"/>
      <c r="JZ36" s="45"/>
      <c r="KA36" s="45"/>
      <c r="KB36" s="45"/>
      <c r="KC36" s="45"/>
      <c r="KD36" s="45"/>
      <c r="KE36" s="45"/>
      <c r="KF36" s="45"/>
      <c r="KG36"/>
      <c r="KH36"/>
      <c r="KI36">
        <v>1</v>
      </c>
      <c r="KJ36">
        <v>1</v>
      </c>
      <c r="KK36">
        <v>1</v>
      </c>
      <c r="KL36">
        <v>0</v>
      </c>
      <c r="KM36">
        <v>1</v>
      </c>
      <c r="KN36">
        <v>1</v>
      </c>
      <c r="KO36">
        <v>1</v>
      </c>
      <c r="KP36">
        <v>0</v>
      </c>
      <c r="KQ36">
        <v>0</v>
      </c>
      <c r="KR36">
        <v>1</v>
      </c>
      <c r="KS36">
        <v>1</v>
      </c>
      <c r="KT36">
        <v>1</v>
      </c>
      <c r="KU36">
        <v>1</v>
      </c>
      <c r="KV36">
        <v>0</v>
      </c>
      <c r="KW36">
        <v>1</v>
      </c>
      <c r="KX36">
        <v>1</v>
      </c>
      <c r="KY36">
        <v>0</v>
      </c>
      <c r="KZ36">
        <v>0</v>
      </c>
      <c r="LA36">
        <v>1</v>
      </c>
      <c r="LB36">
        <v>0</v>
      </c>
      <c r="LC36">
        <v>0</v>
      </c>
      <c r="LD36">
        <v>1</v>
      </c>
      <c r="LE36">
        <v>1</v>
      </c>
      <c r="LF36">
        <v>0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1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1</v>
      </c>
      <c r="LY36">
        <v>1</v>
      </c>
      <c r="LZ36">
        <v>1</v>
      </c>
      <c r="MA36">
        <v>0</v>
      </c>
      <c r="MB36">
        <v>1</v>
      </c>
      <c r="MC36">
        <v>0</v>
      </c>
      <c r="MD36">
        <v>1</v>
      </c>
      <c r="ME36">
        <v>1</v>
      </c>
      <c r="MF36">
        <v>0</v>
      </c>
      <c r="MG36">
        <v>0</v>
      </c>
      <c r="MH36">
        <v>0</v>
      </c>
      <c r="MI36">
        <v>0</v>
      </c>
      <c r="MJ36">
        <v>1</v>
      </c>
      <c r="MK36">
        <v>1</v>
      </c>
      <c r="ML36">
        <v>0</v>
      </c>
      <c r="MM36">
        <v>1</v>
      </c>
      <c r="MN36">
        <v>1</v>
      </c>
      <c r="MO36">
        <v>1</v>
      </c>
      <c r="MP36">
        <v>0</v>
      </c>
      <c r="MQ36">
        <v>1</v>
      </c>
      <c r="MR36">
        <v>1</v>
      </c>
    </row>
    <row r="37" spans="1:358" ht="18" x14ac:dyDescent="0.25">
      <c r="A37" t="s">
        <v>429</v>
      </c>
      <c r="B37" s="3">
        <v>51</v>
      </c>
      <c r="C37" s="3">
        <v>0</v>
      </c>
      <c r="D37" s="3">
        <v>1</v>
      </c>
      <c r="E37" s="26">
        <v>44664</v>
      </c>
      <c r="F37" s="61">
        <v>32</v>
      </c>
      <c r="G37" s="61"/>
      <c r="H37" s="58">
        <v>1</v>
      </c>
      <c r="I37" s="57">
        <v>1</v>
      </c>
      <c r="J37" s="58">
        <v>1</v>
      </c>
      <c r="K37" s="2">
        <v>44664</v>
      </c>
      <c r="L37" s="64">
        <v>1</v>
      </c>
      <c r="M37" s="2">
        <v>44709</v>
      </c>
      <c r="N37" s="3">
        <v>0</v>
      </c>
      <c r="O37" s="2">
        <v>45029</v>
      </c>
      <c r="P37" s="64">
        <f t="shared" si="0"/>
        <v>397</v>
      </c>
      <c r="Q37">
        <v>1</v>
      </c>
      <c r="R37">
        <v>0</v>
      </c>
      <c r="S37">
        <v>0</v>
      </c>
      <c r="T37">
        <v>94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121</v>
      </c>
      <c r="AO37">
        <v>170</v>
      </c>
      <c r="AP37">
        <v>41.9</v>
      </c>
      <c r="AQ37">
        <v>37.1</v>
      </c>
      <c r="AR37">
        <v>127</v>
      </c>
      <c r="AS37">
        <v>72</v>
      </c>
      <c r="AT37">
        <v>3</v>
      </c>
      <c r="AU37">
        <v>1</v>
      </c>
      <c r="AW37" s="1">
        <v>44632</v>
      </c>
      <c r="AX37" s="1">
        <v>44632</v>
      </c>
      <c r="AY37">
        <v>0</v>
      </c>
      <c r="AZ37" s="1">
        <v>44630</v>
      </c>
      <c r="BA37">
        <v>1</v>
      </c>
      <c r="BB37">
        <v>1</v>
      </c>
      <c r="BC37">
        <v>0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 s="66">
        <v>0</v>
      </c>
      <c r="BN37">
        <v>0</v>
      </c>
      <c r="BO37">
        <v>0</v>
      </c>
      <c r="BP37" s="66">
        <f t="shared" ref="BP37:BP46" si="17">BJ37+BK37+BL37+BM37+BN37+BO37</f>
        <v>0</v>
      </c>
      <c r="BQ37">
        <v>0</v>
      </c>
      <c r="BR37">
        <v>0</v>
      </c>
      <c r="BS37">
        <v>3</v>
      </c>
      <c r="BT37">
        <v>0</v>
      </c>
      <c r="BU37" s="66">
        <f t="shared" ref="BU37:BU46" si="18">BM37</f>
        <v>0</v>
      </c>
      <c r="BV37">
        <v>0</v>
      </c>
      <c r="BW37">
        <v>0</v>
      </c>
      <c r="BX37" s="66">
        <f t="shared" si="3"/>
        <v>3</v>
      </c>
      <c r="BY37" s="39">
        <v>1</v>
      </c>
      <c r="BZ37">
        <v>1</v>
      </c>
      <c r="CA37">
        <v>1</v>
      </c>
      <c r="CB37">
        <v>1</v>
      </c>
      <c r="CC37">
        <v>3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</v>
      </c>
      <c r="CK37">
        <v>0</v>
      </c>
      <c r="CL37">
        <v>0</v>
      </c>
      <c r="CM37">
        <v>0</v>
      </c>
      <c r="CN37">
        <v>0</v>
      </c>
      <c r="CO37">
        <v>1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1</v>
      </c>
      <c r="DA37" s="1">
        <v>44632</v>
      </c>
      <c r="DB37" s="66">
        <f t="shared" si="5"/>
        <v>2</v>
      </c>
      <c r="DC37" t="s">
        <v>1</v>
      </c>
      <c r="DD37">
        <v>0</v>
      </c>
      <c r="DE37" s="1">
        <v>44644</v>
      </c>
      <c r="DF37">
        <v>13</v>
      </c>
      <c r="DG37" s="1">
        <v>44633</v>
      </c>
      <c r="DH37">
        <v>15</v>
      </c>
      <c r="DI37">
        <v>21</v>
      </c>
      <c r="DJ37">
        <v>1.3</v>
      </c>
      <c r="DK37" s="66">
        <v>280</v>
      </c>
      <c r="DL37">
        <v>7</v>
      </c>
      <c r="DM37">
        <v>81</v>
      </c>
      <c r="DO37">
        <v>8</v>
      </c>
      <c r="DP37">
        <v>305</v>
      </c>
      <c r="DR37">
        <v>72</v>
      </c>
      <c r="DS37">
        <v>6.6</v>
      </c>
      <c r="DU37">
        <v>36</v>
      </c>
      <c r="DW37" s="1">
        <v>44632</v>
      </c>
      <c r="DX37">
        <v>24.4</v>
      </c>
      <c r="DY37">
        <v>22.6</v>
      </c>
      <c r="DZ37">
        <v>1</v>
      </c>
      <c r="EA37">
        <v>24.4</v>
      </c>
      <c r="EB37">
        <v>1</v>
      </c>
      <c r="EC37">
        <v>1.43</v>
      </c>
      <c r="ED37">
        <v>1.1499999999999999</v>
      </c>
      <c r="EE37">
        <v>0</v>
      </c>
      <c r="EF37">
        <v>1.43</v>
      </c>
      <c r="EG37">
        <v>0</v>
      </c>
      <c r="EH37">
        <v>254</v>
      </c>
      <c r="EI37" s="62">
        <v>1.2716535433070899</v>
      </c>
      <c r="EJ37">
        <v>323</v>
      </c>
      <c r="EK37" s="39">
        <v>1</v>
      </c>
      <c r="EL37">
        <f t="shared" si="6"/>
        <v>69</v>
      </c>
      <c r="EM37">
        <v>330</v>
      </c>
      <c r="EN37" s="39">
        <v>1</v>
      </c>
      <c r="EO37">
        <v>0</v>
      </c>
      <c r="ER37">
        <v>20</v>
      </c>
      <c r="ES37">
        <v>16</v>
      </c>
      <c r="ET37">
        <v>18</v>
      </c>
      <c r="EU37">
        <v>20</v>
      </c>
      <c r="EV37">
        <v>37</v>
      </c>
      <c r="EW37">
        <v>78</v>
      </c>
      <c r="EX37">
        <v>12</v>
      </c>
      <c r="EY37">
        <v>5</v>
      </c>
      <c r="FA37">
        <v>7.42</v>
      </c>
      <c r="FB37">
        <v>1</v>
      </c>
      <c r="FC37">
        <v>1</v>
      </c>
      <c r="FD37">
        <v>0</v>
      </c>
      <c r="FF37">
        <v>1</v>
      </c>
      <c r="FG37">
        <v>0</v>
      </c>
      <c r="FI37"/>
      <c r="FK37">
        <v>0</v>
      </c>
      <c r="FL37">
        <v>0</v>
      </c>
      <c r="FO37">
        <v>0</v>
      </c>
      <c r="FQ37" s="22">
        <v>44632</v>
      </c>
      <c r="FR37" s="22" t="s">
        <v>230</v>
      </c>
      <c r="FS37" s="15">
        <v>1</v>
      </c>
      <c r="FT37" s="15">
        <v>0</v>
      </c>
      <c r="FU37" s="15">
        <v>1</v>
      </c>
      <c r="FV37" s="15">
        <v>0</v>
      </c>
      <c r="FW37" s="15">
        <v>1</v>
      </c>
      <c r="FX37" s="15">
        <v>0</v>
      </c>
      <c r="FY37" s="15">
        <v>1</v>
      </c>
      <c r="FZ37" s="15">
        <v>0</v>
      </c>
      <c r="GA37" s="15">
        <v>1</v>
      </c>
      <c r="GB37" s="15">
        <v>1</v>
      </c>
      <c r="GC37" s="15">
        <v>1</v>
      </c>
      <c r="GD37" s="15">
        <v>1</v>
      </c>
      <c r="GE37" s="15">
        <v>1</v>
      </c>
      <c r="GF37" s="15">
        <v>1</v>
      </c>
      <c r="GG37" s="15">
        <v>0</v>
      </c>
      <c r="GH37" s="15">
        <v>0</v>
      </c>
      <c r="GI37" s="15">
        <v>0</v>
      </c>
      <c r="GJ37" s="15">
        <v>0</v>
      </c>
      <c r="GK37" s="15">
        <v>1</v>
      </c>
      <c r="GL37" s="15">
        <v>0</v>
      </c>
      <c r="GM37" s="15">
        <v>1</v>
      </c>
      <c r="GN37" s="15">
        <v>0</v>
      </c>
      <c r="GO37" s="15">
        <v>1</v>
      </c>
      <c r="GP37" s="15">
        <v>1</v>
      </c>
      <c r="GQ37" s="15">
        <v>0</v>
      </c>
      <c r="GR37" s="15">
        <v>1</v>
      </c>
      <c r="GS37" s="15">
        <v>1</v>
      </c>
      <c r="GT37" s="15">
        <v>1</v>
      </c>
      <c r="GU37" s="15">
        <v>1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1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1</v>
      </c>
      <c r="HI37" s="15">
        <v>1</v>
      </c>
      <c r="HJ37" s="15">
        <v>1</v>
      </c>
      <c r="HK37" s="15">
        <v>0</v>
      </c>
      <c r="HL37" s="15">
        <v>1</v>
      </c>
      <c r="HM37" s="15">
        <v>0</v>
      </c>
      <c r="HN37" s="15">
        <v>0</v>
      </c>
      <c r="HO37" s="15">
        <v>1</v>
      </c>
      <c r="HP37" s="15">
        <v>1</v>
      </c>
      <c r="HQ37" s="15">
        <v>0</v>
      </c>
      <c r="HR37" s="15">
        <v>0</v>
      </c>
      <c r="HS37" s="15">
        <v>0</v>
      </c>
      <c r="HT37" s="15">
        <v>1</v>
      </c>
      <c r="HU37" s="15">
        <v>0</v>
      </c>
      <c r="HV37" s="15">
        <v>0</v>
      </c>
      <c r="HW37" s="15">
        <v>0</v>
      </c>
      <c r="HX37" s="15">
        <v>0</v>
      </c>
      <c r="HY37" s="22">
        <v>44663</v>
      </c>
      <c r="HZ37" s="15" t="s">
        <v>231</v>
      </c>
      <c r="IA37" s="15">
        <v>1</v>
      </c>
      <c r="IB37" s="15">
        <v>1</v>
      </c>
      <c r="IC37" s="15">
        <v>1</v>
      </c>
      <c r="ID37" s="15">
        <v>0</v>
      </c>
      <c r="IE37" s="15">
        <v>1</v>
      </c>
      <c r="IF37" s="15">
        <v>0</v>
      </c>
      <c r="IG37" s="15">
        <v>0</v>
      </c>
      <c r="IH37" s="15">
        <v>0</v>
      </c>
      <c r="II37" s="15">
        <v>0</v>
      </c>
      <c r="IJ37" s="15">
        <v>1</v>
      </c>
      <c r="IK37" s="15">
        <v>0</v>
      </c>
      <c r="IL37" s="15">
        <v>1</v>
      </c>
      <c r="IM37" s="15">
        <v>1</v>
      </c>
      <c r="IN37" s="15">
        <v>0</v>
      </c>
      <c r="IO37" s="15">
        <v>0</v>
      </c>
      <c r="IP37" s="15">
        <v>0</v>
      </c>
      <c r="IQ37" s="15">
        <v>0</v>
      </c>
      <c r="IR37" s="15">
        <v>0</v>
      </c>
      <c r="IS37" s="15">
        <v>1</v>
      </c>
      <c r="IT37" s="15">
        <v>1</v>
      </c>
      <c r="IU37" s="15">
        <v>0</v>
      </c>
      <c r="IV37" s="15">
        <v>0</v>
      </c>
      <c r="IW37" s="15">
        <v>1</v>
      </c>
      <c r="IX37" s="15">
        <v>1</v>
      </c>
      <c r="IY37" s="15">
        <v>0</v>
      </c>
      <c r="IZ37" s="15">
        <v>1</v>
      </c>
      <c r="JA37" s="15">
        <v>1</v>
      </c>
      <c r="JB37" s="15">
        <v>1</v>
      </c>
      <c r="JC37" s="15">
        <v>1</v>
      </c>
      <c r="JD37" s="15">
        <v>0</v>
      </c>
      <c r="JE37" s="15">
        <v>0</v>
      </c>
      <c r="JF37" s="15">
        <v>0</v>
      </c>
      <c r="JG37" s="15">
        <v>0</v>
      </c>
      <c r="JH37" s="15">
        <v>0</v>
      </c>
      <c r="JI37" s="15">
        <v>0</v>
      </c>
      <c r="JJ37" s="15">
        <v>1</v>
      </c>
      <c r="JK37" s="15">
        <v>0</v>
      </c>
      <c r="JL37" s="15">
        <v>0</v>
      </c>
      <c r="JM37" s="15">
        <v>0</v>
      </c>
      <c r="JN37" s="15">
        <v>0</v>
      </c>
      <c r="JO37" s="15">
        <v>0</v>
      </c>
      <c r="JP37" s="15">
        <v>1</v>
      </c>
      <c r="JQ37" s="15">
        <v>0</v>
      </c>
      <c r="JR37" s="45">
        <v>1</v>
      </c>
      <c r="JS37" s="45">
        <v>1</v>
      </c>
      <c r="JT37" s="15">
        <v>0</v>
      </c>
      <c r="JU37" s="15">
        <v>0</v>
      </c>
      <c r="JV37" s="15">
        <v>0</v>
      </c>
      <c r="JW37" s="15">
        <v>1</v>
      </c>
      <c r="JX37" s="15">
        <v>1</v>
      </c>
      <c r="JY37" s="15">
        <v>0</v>
      </c>
      <c r="JZ37" s="15">
        <v>1</v>
      </c>
      <c r="KA37" s="15">
        <v>1</v>
      </c>
      <c r="KB37" s="15">
        <v>1</v>
      </c>
      <c r="KC37" s="15">
        <v>1</v>
      </c>
      <c r="KD37" s="15">
        <v>0</v>
      </c>
      <c r="KE37" s="15">
        <v>0</v>
      </c>
      <c r="KF37" s="15">
        <v>0</v>
      </c>
      <c r="KI37">
        <v>1</v>
      </c>
      <c r="KJ37">
        <v>1</v>
      </c>
      <c r="KK37">
        <v>1</v>
      </c>
      <c r="KL37">
        <v>0</v>
      </c>
      <c r="KM37">
        <v>1</v>
      </c>
      <c r="KN37">
        <v>0</v>
      </c>
      <c r="KO37">
        <v>1</v>
      </c>
      <c r="KP37">
        <v>0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0</v>
      </c>
      <c r="KX37">
        <v>0</v>
      </c>
      <c r="KY37">
        <v>0</v>
      </c>
      <c r="KZ37">
        <v>0</v>
      </c>
      <c r="LA37">
        <v>1</v>
      </c>
      <c r="LB37">
        <v>1</v>
      </c>
      <c r="LC37">
        <v>1</v>
      </c>
      <c r="LD37">
        <v>0</v>
      </c>
      <c r="LE37">
        <v>1</v>
      </c>
      <c r="LF37">
        <v>1</v>
      </c>
      <c r="LG37">
        <v>0</v>
      </c>
      <c r="LH37">
        <v>1</v>
      </c>
      <c r="LI37">
        <v>1</v>
      </c>
      <c r="LJ37">
        <v>1</v>
      </c>
      <c r="LK37">
        <v>1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1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1</v>
      </c>
      <c r="LY37">
        <v>1</v>
      </c>
      <c r="LZ37">
        <v>1</v>
      </c>
      <c r="MA37">
        <v>0</v>
      </c>
      <c r="MB37">
        <v>1</v>
      </c>
      <c r="MC37">
        <v>0</v>
      </c>
      <c r="MD37">
        <v>0</v>
      </c>
      <c r="ME37">
        <v>1</v>
      </c>
      <c r="MF37">
        <v>1</v>
      </c>
      <c r="MG37">
        <v>0</v>
      </c>
      <c r="MH37">
        <v>1</v>
      </c>
      <c r="MI37">
        <v>1</v>
      </c>
      <c r="MJ37">
        <v>1</v>
      </c>
      <c r="MK37">
        <v>1</v>
      </c>
      <c r="ML37">
        <v>0</v>
      </c>
      <c r="MM37">
        <v>0</v>
      </c>
      <c r="MN37">
        <v>0</v>
      </c>
      <c r="MO37">
        <v>1</v>
      </c>
      <c r="MP37">
        <v>0</v>
      </c>
      <c r="MQ37">
        <v>1</v>
      </c>
      <c r="MR37">
        <v>1</v>
      </c>
      <c r="MS37">
        <v>1</v>
      </c>
      <c r="MT37">
        <v>1</v>
      </c>
    </row>
    <row r="38" spans="1:358" ht="18" x14ac:dyDescent="0.25">
      <c r="A38" t="s">
        <v>430</v>
      </c>
      <c r="B38" s="3">
        <v>70</v>
      </c>
      <c r="C38" s="3">
        <v>0</v>
      </c>
      <c r="D38" s="3">
        <v>0</v>
      </c>
      <c r="E38" s="3"/>
      <c r="F38" s="55">
        <v>708</v>
      </c>
      <c r="G38" s="55"/>
      <c r="H38" s="57">
        <v>0</v>
      </c>
      <c r="I38" s="57">
        <v>0</v>
      </c>
      <c r="J38" s="57"/>
      <c r="K38" s="3"/>
      <c r="L38" s="3"/>
      <c r="M38" s="3"/>
      <c r="N38" s="3">
        <v>0</v>
      </c>
      <c r="O38" s="2">
        <v>44974</v>
      </c>
      <c r="P38" s="64">
        <f t="shared" si="0"/>
        <v>708</v>
      </c>
      <c r="Q38">
        <v>1</v>
      </c>
      <c r="R38">
        <v>1</v>
      </c>
      <c r="S38">
        <v>0</v>
      </c>
      <c r="T38">
        <v>77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82</v>
      </c>
      <c r="AO38">
        <v>172</v>
      </c>
      <c r="AP38">
        <v>27.7</v>
      </c>
      <c r="AQ38">
        <v>36</v>
      </c>
      <c r="AR38">
        <v>184</v>
      </c>
      <c r="AS38">
        <v>114</v>
      </c>
      <c r="AT38">
        <v>2</v>
      </c>
      <c r="AU38">
        <v>0</v>
      </c>
      <c r="AV38">
        <v>90</v>
      </c>
      <c r="AW38" s="1">
        <v>44265</v>
      </c>
      <c r="AX38" s="1">
        <v>44266</v>
      </c>
      <c r="AY38">
        <v>0</v>
      </c>
      <c r="AZ38" s="1">
        <v>44261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0</v>
      </c>
      <c r="BM38" s="66">
        <v>0</v>
      </c>
      <c r="BN38">
        <v>0</v>
      </c>
      <c r="BO38">
        <v>0</v>
      </c>
      <c r="BP38" s="66">
        <f t="shared" si="17"/>
        <v>0</v>
      </c>
      <c r="BQ38">
        <v>0</v>
      </c>
      <c r="BR38">
        <v>0</v>
      </c>
      <c r="BS38">
        <v>0</v>
      </c>
      <c r="BT38">
        <v>0</v>
      </c>
      <c r="BU38" s="66">
        <f t="shared" si="18"/>
        <v>0</v>
      </c>
      <c r="BV38">
        <v>0</v>
      </c>
      <c r="BW38">
        <v>0</v>
      </c>
      <c r="BX38" s="66">
        <f t="shared" si="3"/>
        <v>0</v>
      </c>
      <c r="BY38">
        <v>0</v>
      </c>
      <c r="BZ38">
        <f t="shared" si="4"/>
        <v>0</v>
      </c>
      <c r="CA38">
        <v>0</v>
      </c>
      <c r="CB38">
        <v>0</v>
      </c>
      <c r="CC38">
        <v>3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f t="shared" si="7"/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1</v>
      </c>
      <c r="CY38">
        <v>0</v>
      </c>
      <c r="DA38" s="1">
        <v>44266</v>
      </c>
      <c r="DB38" s="66">
        <f t="shared" si="5"/>
        <v>5</v>
      </c>
      <c r="DC38" t="s">
        <v>1</v>
      </c>
      <c r="DD38">
        <v>0</v>
      </c>
      <c r="DE38" s="1">
        <v>44274</v>
      </c>
      <c r="DF38">
        <v>9</v>
      </c>
      <c r="DG38" s="1">
        <v>44266</v>
      </c>
      <c r="DH38">
        <v>17</v>
      </c>
      <c r="DI38">
        <v>13.8</v>
      </c>
      <c r="DJ38">
        <v>0.7</v>
      </c>
      <c r="DK38" s="66">
        <v>247</v>
      </c>
      <c r="DL38">
        <v>7</v>
      </c>
      <c r="DM38">
        <v>77</v>
      </c>
      <c r="DN38">
        <v>6688</v>
      </c>
      <c r="DO38">
        <v>2</v>
      </c>
      <c r="DP38">
        <v>247</v>
      </c>
      <c r="DQ38">
        <v>6688</v>
      </c>
      <c r="DR38">
        <v>71</v>
      </c>
      <c r="DS38">
        <v>6.1</v>
      </c>
      <c r="DU38">
        <v>65</v>
      </c>
      <c r="DW38" s="1">
        <v>44265</v>
      </c>
      <c r="DX38">
        <v>15</v>
      </c>
      <c r="DY38">
        <v>10</v>
      </c>
      <c r="DZ38">
        <v>0</v>
      </c>
      <c r="EA38">
        <v>15</v>
      </c>
      <c r="EB38">
        <v>1</v>
      </c>
      <c r="EC38">
        <v>3.8</v>
      </c>
      <c r="ED38">
        <v>1.41</v>
      </c>
      <c r="EE38">
        <v>0</v>
      </c>
      <c r="EF38">
        <v>3.8</v>
      </c>
      <c r="EG38">
        <v>1</v>
      </c>
      <c r="EH38">
        <v>287</v>
      </c>
      <c r="EI38" s="62">
        <v>0.707317073170732</v>
      </c>
      <c r="EJ38">
        <v>203</v>
      </c>
      <c r="EK38" s="39">
        <v>1</v>
      </c>
      <c r="EL38">
        <f t="shared" si="6"/>
        <v>-84</v>
      </c>
      <c r="EM38">
        <v>287</v>
      </c>
      <c r="EN38" s="39">
        <v>1</v>
      </c>
      <c r="EO38">
        <v>0.56000000000000005</v>
      </c>
      <c r="ER38">
        <v>18</v>
      </c>
      <c r="ES38">
        <v>10</v>
      </c>
      <c r="ET38">
        <v>21</v>
      </c>
      <c r="EU38">
        <v>8</v>
      </c>
      <c r="EV38">
        <v>164</v>
      </c>
      <c r="EW38">
        <v>112</v>
      </c>
      <c r="EX38">
        <v>21</v>
      </c>
      <c r="EY38">
        <v>11</v>
      </c>
      <c r="FA38">
        <v>7.36</v>
      </c>
      <c r="FB38">
        <v>1</v>
      </c>
      <c r="FC38">
        <v>1</v>
      </c>
      <c r="FD38">
        <v>0</v>
      </c>
      <c r="FF38">
        <v>1</v>
      </c>
      <c r="FG38">
        <v>0</v>
      </c>
      <c r="FI38"/>
      <c r="FK38">
        <v>0</v>
      </c>
      <c r="FL38">
        <v>0</v>
      </c>
      <c r="FO38">
        <v>0</v>
      </c>
      <c r="FQ38" s="22">
        <v>44265</v>
      </c>
      <c r="FR38" s="22" t="s">
        <v>230</v>
      </c>
      <c r="FS38" s="15">
        <v>0</v>
      </c>
      <c r="FT38" s="15">
        <v>0</v>
      </c>
      <c r="FU38" s="15">
        <v>1</v>
      </c>
      <c r="FV38" s="15">
        <v>0</v>
      </c>
      <c r="FW38" s="15">
        <v>1</v>
      </c>
      <c r="FX38" s="15">
        <v>0</v>
      </c>
      <c r="FY38" s="15">
        <v>0</v>
      </c>
      <c r="FZ38" s="15">
        <v>0</v>
      </c>
      <c r="GA38" s="15">
        <v>1</v>
      </c>
      <c r="GB38" s="15">
        <v>1</v>
      </c>
      <c r="GC38" s="15">
        <v>1</v>
      </c>
      <c r="GD38" s="15">
        <v>1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1</v>
      </c>
      <c r="GK38" s="15">
        <v>0</v>
      </c>
      <c r="GL38" s="15">
        <v>0</v>
      </c>
      <c r="GM38" s="15">
        <v>1</v>
      </c>
      <c r="GN38" s="15">
        <v>0</v>
      </c>
      <c r="GO38" s="15">
        <v>1</v>
      </c>
      <c r="GP38" s="15">
        <v>1</v>
      </c>
      <c r="GQ38" s="15">
        <v>0</v>
      </c>
      <c r="GR38" s="15">
        <v>1</v>
      </c>
      <c r="GS38" s="15">
        <v>1</v>
      </c>
      <c r="GT38" s="15">
        <v>0</v>
      </c>
      <c r="GU38" s="15">
        <v>0</v>
      </c>
      <c r="GV38" s="15">
        <v>1</v>
      </c>
      <c r="GW38" s="15">
        <v>1</v>
      </c>
      <c r="GX38" s="15" t="s">
        <v>233</v>
      </c>
      <c r="GY38" s="15">
        <v>1</v>
      </c>
      <c r="GZ38" s="15">
        <v>0</v>
      </c>
      <c r="HA38" s="15">
        <v>0</v>
      </c>
      <c r="HB38" s="15">
        <v>1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1</v>
      </c>
      <c r="HJ38" s="15">
        <v>0</v>
      </c>
      <c r="HK38" s="15">
        <v>0</v>
      </c>
      <c r="HL38" s="15">
        <v>1</v>
      </c>
      <c r="HM38" s="15"/>
      <c r="HN38" s="15">
        <v>0</v>
      </c>
      <c r="HO38" s="15">
        <v>1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1</v>
      </c>
      <c r="HX38" s="15">
        <v>0</v>
      </c>
      <c r="HY38" s="22">
        <v>44270</v>
      </c>
      <c r="HZ38" s="15" t="s">
        <v>231</v>
      </c>
      <c r="IA38" s="15">
        <v>1</v>
      </c>
      <c r="IB38" s="15">
        <v>1</v>
      </c>
      <c r="IC38" s="15">
        <v>1</v>
      </c>
      <c r="ID38" s="15">
        <v>0</v>
      </c>
      <c r="IE38" s="15">
        <v>1</v>
      </c>
      <c r="IF38" s="15">
        <v>0</v>
      </c>
      <c r="IG38" s="15">
        <v>0</v>
      </c>
      <c r="IH38" s="15">
        <v>0</v>
      </c>
      <c r="II38" s="15">
        <v>1</v>
      </c>
      <c r="IJ38" s="15">
        <v>1</v>
      </c>
      <c r="IK38" s="15">
        <v>1</v>
      </c>
      <c r="IL38" s="15">
        <v>1</v>
      </c>
      <c r="IM38" s="15">
        <v>0</v>
      </c>
      <c r="IN38" s="15">
        <v>0</v>
      </c>
      <c r="IO38" s="15">
        <v>0</v>
      </c>
      <c r="IP38" s="15">
        <v>0</v>
      </c>
      <c r="IQ38" s="15">
        <v>0</v>
      </c>
      <c r="IR38" s="15">
        <v>1</v>
      </c>
      <c r="IS38" s="15">
        <v>0</v>
      </c>
      <c r="IT38" s="15">
        <v>0</v>
      </c>
      <c r="IU38" s="15">
        <v>1</v>
      </c>
      <c r="IV38" s="15">
        <v>0</v>
      </c>
      <c r="IW38" s="15">
        <v>1</v>
      </c>
      <c r="IX38" s="15">
        <v>1</v>
      </c>
      <c r="IY38" s="15">
        <v>0</v>
      </c>
      <c r="IZ38" s="15">
        <v>1</v>
      </c>
      <c r="JA38" s="15">
        <v>1</v>
      </c>
      <c r="JB38" s="15">
        <v>0</v>
      </c>
      <c r="JC38" s="15">
        <v>0</v>
      </c>
      <c r="JD38" s="15">
        <v>1</v>
      </c>
      <c r="JE38" s="15">
        <v>1</v>
      </c>
      <c r="JF38" s="15" t="s">
        <v>233</v>
      </c>
      <c r="JG38" s="15">
        <v>1</v>
      </c>
      <c r="JH38" s="15">
        <v>0</v>
      </c>
      <c r="JI38" s="15">
        <v>0</v>
      </c>
      <c r="JJ38" s="15">
        <v>1</v>
      </c>
      <c r="JK38" s="15">
        <v>0</v>
      </c>
      <c r="JL38" s="15">
        <v>0</v>
      </c>
      <c r="JM38" s="15">
        <v>0</v>
      </c>
      <c r="JN38" s="15">
        <v>0</v>
      </c>
      <c r="JO38" s="15">
        <v>0</v>
      </c>
      <c r="JP38" s="15">
        <v>1</v>
      </c>
      <c r="JQ38" s="15">
        <v>0</v>
      </c>
      <c r="JR38" s="15">
        <v>0</v>
      </c>
      <c r="JS38" s="15">
        <v>0</v>
      </c>
      <c r="JT38" s="15">
        <v>1</v>
      </c>
      <c r="JU38" s="15"/>
      <c r="JV38" s="15">
        <v>0</v>
      </c>
      <c r="JW38" s="15">
        <v>1</v>
      </c>
      <c r="JX38" s="15">
        <v>0</v>
      </c>
      <c r="JY38" s="15">
        <v>0</v>
      </c>
      <c r="JZ38" s="15">
        <v>0</v>
      </c>
      <c r="KA38" s="15">
        <v>0</v>
      </c>
      <c r="KB38" s="15">
        <v>1</v>
      </c>
      <c r="KC38" s="15">
        <v>1</v>
      </c>
      <c r="KD38" s="15">
        <v>0</v>
      </c>
      <c r="KE38" s="15">
        <v>1</v>
      </c>
      <c r="KF38" s="15">
        <v>0</v>
      </c>
      <c r="KI38">
        <v>1</v>
      </c>
      <c r="KJ38">
        <v>1</v>
      </c>
      <c r="KK38">
        <v>1</v>
      </c>
      <c r="KL38">
        <v>0</v>
      </c>
      <c r="KM38">
        <v>1</v>
      </c>
      <c r="KN38">
        <v>0</v>
      </c>
      <c r="KO38">
        <v>0</v>
      </c>
      <c r="KP38">
        <v>0</v>
      </c>
      <c r="KQ38">
        <v>1</v>
      </c>
      <c r="KR38">
        <v>1</v>
      </c>
      <c r="KS38">
        <v>1</v>
      </c>
      <c r="KT38">
        <v>1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1</v>
      </c>
      <c r="LA38">
        <v>0</v>
      </c>
      <c r="LB38">
        <v>0</v>
      </c>
      <c r="LC38">
        <v>1</v>
      </c>
      <c r="LD38">
        <v>0</v>
      </c>
      <c r="LE38">
        <v>1</v>
      </c>
      <c r="LF38">
        <v>1</v>
      </c>
      <c r="LG38">
        <v>0</v>
      </c>
      <c r="LH38">
        <v>1</v>
      </c>
      <c r="LI38">
        <v>1</v>
      </c>
      <c r="LJ38">
        <v>0</v>
      </c>
      <c r="LK38">
        <v>0</v>
      </c>
      <c r="LL38">
        <v>1</v>
      </c>
      <c r="LM38">
        <v>1</v>
      </c>
      <c r="LO38">
        <v>1</v>
      </c>
      <c r="LP38">
        <v>0</v>
      </c>
      <c r="LQ38">
        <v>0</v>
      </c>
      <c r="LR38">
        <v>1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1</v>
      </c>
      <c r="LY38">
        <v>1</v>
      </c>
      <c r="LZ38">
        <v>0</v>
      </c>
      <c r="MA38">
        <v>0</v>
      </c>
      <c r="MB38">
        <v>1</v>
      </c>
      <c r="MC38">
        <v>0</v>
      </c>
      <c r="MD38">
        <v>0</v>
      </c>
      <c r="ME38">
        <v>1</v>
      </c>
      <c r="MF38">
        <v>0</v>
      </c>
      <c r="MG38">
        <v>0</v>
      </c>
      <c r="MH38">
        <v>0</v>
      </c>
      <c r="MI38">
        <v>0</v>
      </c>
      <c r="MJ38">
        <v>1</v>
      </c>
      <c r="MK38">
        <v>1</v>
      </c>
      <c r="ML38">
        <v>0</v>
      </c>
      <c r="MM38">
        <v>1</v>
      </c>
      <c r="MN38">
        <v>0</v>
      </c>
      <c r="MO38">
        <v>0</v>
      </c>
      <c r="MP38">
        <v>0</v>
      </c>
      <c r="MQ38">
        <f t="shared" si="10"/>
        <v>0</v>
      </c>
      <c r="MR38">
        <f t="shared" si="11"/>
        <v>0</v>
      </c>
    </row>
    <row r="39" spans="1:358" ht="18" x14ac:dyDescent="0.25">
      <c r="A39" t="s">
        <v>431</v>
      </c>
      <c r="B39" s="3">
        <v>44</v>
      </c>
      <c r="C39" s="3">
        <v>0</v>
      </c>
      <c r="D39" s="3">
        <v>1</v>
      </c>
      <c r="E39" s="26">
        <v>44574</v>
      </c>
      <c r="F39" s="61">
        <v>2</v>
      </c>
      <c r="G39" s="61"/>
      <c r="H39" s="58">
        <v>1</v>
      </c>
      <c r="I39" s="57">
        <v>1</v>
      </c>
      <c r="J39" s="58">
        <v>1</v>
      </c>
      <c r="K39" s="2">
        <v>44574</v>
      </c>
      <c r="L39" s="64">
        <v>1</v>
      </c>
      <c r="M39" s="2">
        <v>44638</v>
      </c>
      <c r="N39" s="3">
        <v>0</v>
      </c>
      <c r="O39" s="2">
        <v>44936</v>
      </c>
      <c r="P39" s="64">
        <f t="shared" si="0"/>
        <v>364</v>
      </c>
      <c r="Q39">
        <v>4</v>
      </c>
      <c r="R39">
        <v>1</v>
      </c>
      <c r="S39">
        <v>0</v>
      </c>
      <c r="T39">
        <v>78</v>
      </c>
      <c r="U39">
        <v>0</v>
      </c>
      <c r="V39">
        <v>1</v>
      </c>
      <c r="W39">
        <v>0</v>
      </c>
      <c r="X39">
        <v>0</v>
      </c>
      <c r="Y39">
        <v>0</v>
      </c>
      <c r="Z39">
        <v>1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78</v>
      </c>
      <c r="AO39">
        <v>165</v>
      </c>
      <c r="AP39">
        <v>28.7</v>
      </c>
      <c r="AQ39">
        <v>36.5</v>
      </c>
      <c r="AR39">
        <v>112</v>
      </c>
      <c r="AS39">
        <v>80</v>
      </c>
      <c r="AT39">
        <v>3</v>
      </c>
      <c r="AU39">
        <v>1</v>
      </c>
      <c r="AV39">
        <v>95</v>
      </c>
      <c r="AW39" s="1">
        <v>44572</v>
      </c>
      <c r="AX39" s="1">
        <v>44572</v>
      </c>
      <c r="AY39">
        <v>0</v>
      </c>
      <c r="AZ39" s="1">
        <v>44567</v>
      </c>
      <c r="BA39">
        <v>1</v>
      </c>
      <c r="BB39">
        <v>1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1</v>
      </c>
      <c r="BJ39">
        <v>0</v>
      </c>
      <c r="BK39">
        <v>0</v>
      </c>
      <c r="BL39">
        <v>0</v>
      </c>
      <c r="BM39" s="66">
        <v>0</v>
      </c>
      <c r="BN39">
        <v>0</v>
      </c>
      <c r="BO39">
        <v>0</v>
      </c>
      <c r="BP39" s="66">
        <f t="shared" si="17"/>
        <v>0</v>
      </c>
      <c r="BQ39">
        <v>0</v>
      </c>
      <c r="BR39">
        <v>0</v>
      </c>
      <c r="BS39">
        <v>3</v>
      </c>
      <c r="BT39">
        <v>0</v>
      </c>
      <c r="BU39" s="66">
        <f t="shared" si="18"/>
        <v>0</v>
      </c>
      <c r="BV39">
        <v>0</v>
      </c>
      <c r="BW39">
        <v>0</v>
      </c>
      <c r="BX39" s="66">
        <f t="shared" si="3"/>
        <v>3</v>
      </c>
      <c r="BY39" s="39">
        <v>1</v>
      </c>
      <c r="BZ39">
        <v>1</v>
      </c>
      <c r="CA39">
        <v>1</v>
      </c>
      <c r="CB39">
        <v>1</v>
      </c>
      <c r="CC39">
        <v>4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f t="shared" si="7"/>
        <v>0</v>
      </c>
      <c r="CP39">
        <v>0</v>
      </c>
      <c r="CQ39">
        <v>0</v>
      </c>
      <c r="CR39">
        <v>1</v>
      </c>
      <c r="CS39">
        <v>0</v>
      </c>
      <c r="CT39">
        <v>0</v>
      </c>
      <c r="CU39">
        <v>1</v>
      </c>
      <c r="CV39">
        <v>0</v>
      </c>
      <c r="CW39">
        <v>0</v>
      </c>
      <c r="CY39">
        <v>0</v>
      </c>
      <c r="DA39" s="1">
        <v>44573</v>
      </c>
      <c r="DB39" s="66">
        <f t="shared" si="5"/>
        <v>6</v>
      </c>
      <c r="DC39" t="s">
        <v>1</v>
      </c>
      <c r="DD39">
        <v>0</v>
      </c>
      <c r="DE39" s="1">
        <v>44582</v>
      </c>
      <c r="DF39">
        <v>10</v>
      </c>
      <c r="DG39" s="1">
        <v>44573</v>
      </c>
      <c r="DH39">
        <v>16</v>
      </c>
      <c r="DI39">
        <v>15.3</v>
      </c>
      <c r="DJ39">
        <v>1.6</v>
      </c>
      <c r="DK39" s="66">
        <v>373</v>
      </c>
      <c r="DL39">
        <v>7</v>
      </c>
      <c r="DM39">
        <v>73</v>
      </c>
      <c r="DN39">
        <v>14843</v>
      </c>
      <c r="DO39">
        <v>2</v>
      </c>
      <c r="DP39">
        <v>373</v>
      </c>
      <c r="DQ39">
        <v>14843</v>
      </c>
      <c r="DR39">
        <v>85</v>
      </c>
      <c r="DS39">
        <v>7.9</v>
      </c>
      <c r="DU39">
        <v>10</v>
      </c>
      <c r="DV39">
        <v>4</v>
      </c>
      <c r="DW39" s="1">
        <v>44572</v>
      </c>
      <c r="DX39">
        <v>19.399999999999999</v>
      </c>
      <c r="DY39">
        <v>13</v>
      </c>
      <c r="DZ39">
        <v>1</v>
      </c>
      <c r="EA39">
        <v>19.399999999999999</v>
      </c>
      <c r="EB39">
        <v>1</v>
      </c>
      <c r="EC39">
        <v>5.5</v>
      </c>
      <c r="ED39">
        <v>1.6</v>
      </c>
      <c r="EE39">
        <v>1</v>
      </c>
      <c r="EF39">
        <v>5.5</v>
      </c>
      <c r="EG39">
        <v>1</v>
      </c>
      <c r="EH39">
        <v>318</v>
      </c>
      <c r="EI39" s="62">
        <v>0.52830188679245305</v>
      </c>
      <c r="EJ39">
        <v>168</v>
      </c>
      <c r="EK39">
        <v>0</v>
      </c>
      <c r="EL39">
        <f t="shared" si="6"/>
        <v>-150</v>
      </c>
      <c r="EM39">
        <v>318</v>
      </c>
      <c r="EN39" s="39">
        <v>1</v>
      </c>
      <c r="EO39">
        <v>0.72</v>
      </c>
      <c r="ER39">
        <v>23</v>
      </c>
      <c r="ES39">
        <v>48</v>
      </c>
      <c r="ET39">
        <v>16</v>
      </c>
      <c r="EU39">
        <v>5</v>
      </c>
      <c r="EV39">
        <v>29</v>
      </c>
      <c r="EW39">
        <v>64</v>
      </c>
      <c r="EX39">
        <v>10</v>
      </c>
      <c r="EY39">
        <v>6</v>
      </c>
      <c r="FA39">
        <v>7.5</v>
      </c>
      <c r="FB39">
        <v>1</v>
      </c>
      <c r="FC39">
        <v>1</v>
      </c>
      <c r="FD39">
        <v>0</v>
      </c>
      <c r="FF39">
        <v>1</v>
      </c>
      <c r="FG39">
        <v>0</v>
      </c>
      <c r="FI39"/>
      <c r="FK39">
        <v>0</v>
      </c>
      <c r="FL39">
        <v>0</v>
      </c>
      <c r="FO39">
        <v>0</v>
      </c>
      <c r="FQ39" s="22">
        <v>44572</v>
      </c>
      <c r="FR39" s="22" t="s">
        <v>230</v>
      </c>
      <c r="FS39" s="15">
        <v>0</v>
      </c>
      <c r="FT39" s="15">
        <v>0</v>
      </c>
      <c r="FU39" s="15">
        <v>1</v>
      </c>
      <c r="FV39" s="15">
        <v>0</v>
      </c>
      <c r="FW39" s="15">
        <v>1</v>
      </c>
      <c r="FX39" s="15">
        <v>1</v>
      </c>
      <c r="FY39" s="15">
        <v>1</v>
      </c>
      <c r="FZ39" s="15">
        <v>0</v>
      </c>
      <c r="GA39" s="15">
        <v>0</v>
      </c>
      <c r="GB39" s="15">
        <v>1</v>
      </c>
      <c r="GC39" s="15">
        <v>1</v>
      </c>
      <c r="GD39" s="15">
        <v>1</v>
      </c>
      <c r="GE39" s="15">
        <v>1</v>
      </c>
      <c r="GF39" s="15">
        <v>1</v>
      </c>
      <c r="GG39" s="15">
        <v>1</v>
      </c>
      <c r="GH39" s="15">
        <v>1</v>
      </c>
      <c r="GI39" s="15">
        <v>0</v>
      </c>
      <c r="GJ39" s="15">
        <v>0</v>
      </c>
      <c r="GK39" s="15">
        <v>1</v>
      </c>
      <c r="GL39" s="15">
        <v>0</v>
      </c>
      <c r="GM39" s="15">
        <v>0</v>
      </c>
      <c r="GN39" s="15">
        <v>1</v>
      </c>
      <c r="GO39" s="15">
        <v>1</v>
      </c>
      <c r="GP39" s="15">
        <v>0</v>
      </c>
      <c r="GQ39" s="15">
        <v>1</v>
      </c>
      <c r="GR39" s="15">
        <v>1</v>
      </c>
      <c r="GS39" s="15">
        <v>1</v>
      </c>
      <c r="GT39" s="15">
        <v>1</v>
      </c>
      <c r="GU39" s="15">
        <v>1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 t="s">
        <v>234</v>
      </c>
      <c r="HE39" s="45">
        <v>1</v>
      </c>
      <c r="HF39" s="45">
        <v>1</v>
      </c>
      <c r="HG39" s="15">
        <v>0</v>
      </c>
      <c r="HH39" s="15">
        <v>1</v>
      </c>
      <c r="HI39" s="15">
        <v>1</v>
      </c>
      <c r="HJ39" s="15">
        <v>1</v>
      </c>
      <c r="HK39" s="15">
        <v>0</v>
      </c>
      <c r="HL39" s="15">
        <v>1</v>
      </c>
      <c r="HM39" s="15"/>
      <c r="HN39" s="15">
        <v>1</v>
      </c>
      <c r="HO39" s="15">
        <v>1</v>
      </c>
      <c r="HP39" s="15">
        <v>0</v>
      </c>
      <c r="HQ39" s="15">
        <v>0</v>
      </c>
      <c r="HR39" s="15">
        <v>0</v>
      </c>
      <c r="HS39" s="15">
        <v>0</v>
      </c>
      <c r="HT39" s="15">
        <v>1</v>
      </c>
      <c r="HU39" s="15">
        <v>1</v>
      </c>
      <c r="HV39" s="15">
        <v>0</v>
      </c>
      <c r="HW39" s="15">
        <v>0</v>
      </c>
      <c r="HX39" s="15">
        <v>0</v>
      </c>
      <c r="HY39" s="22">
        <v>44573</v>
      </c>
      <c r="HZ39" s="15" t="s">
        <v>231</v>
      </c>
      <c r="IA39" s="15">
        <v>1</v>
      </c>
      <c r="IB39" s="15">
        <v>1</v>
      </c>
      <c r="IC39" s="15">
        <v>1</v>
      </c>
      <c r="ID39" s="15">
        <v>0</v>
      </c>
      <c r="IE39" s="15">
        <v>1</v>
      </c>
      <c r="IF39" s="15">
        <v>1</v>
      </c>
      <c r="IG39" s="15">
        <v>1</v>
      </c>
      <c r="IH39" s="15">
        <v>0</v>
      </c>
      <c r="II39" s="15">
        <v>1</v>
      </c>
      <c r="IJ39" s="15">
        <v>1</v>
      </c>
      <c r="IK39" s="15">
        <v>1</v>
      </c>
      <c r="IL39" s="15">
        <v>1</v>
      </c>
      <c r="IM39" s="15">
        <v>1</v>
      </c>
      <c r="IN39" s="15">
        <v>1</v>
      </c>
      <c r="IO39" s="15">
        <v>1</v>
      </c>
      <c r="IP39" s="15">
        <v>1</v>
      </c>
      <c r="IQ39" s="15">
        <v>0</v>
      </c>
      <c r="IR39" s="15">
        <v>0</v>
      </c>
      <c r="IS39" s="15">
        <v>1</v>
      </c>
      <c r="IT39" s="15">
        <v>0</v>
      </c>
      <c r="IU39" s="15">
        <v>0</v>
      </c>
      <c r="IV39" s="15">
        <v>1</v>
      </c>
      <c r="IW39" s="15">
        <v>1</v>
      </c>
      <c r="IX39" s="15">
        <v>1</v>
      </c>
      <c r="IY39" s="15">
        <v>0</v>
      </c>
      <c r="IZ39" s="15">
        <v>1</v>
      </c>
      <c r="JA39" s="15">
        <v>1</v>
      </c>
      <c r="JB39" s="15">
        <v>1</v>
      </c>
      <c r="JC39" s="15">
        <v>1</v>
      </c>
      <c r="JD39" s="15">
        <v>0</v>
      </c>
      <c r="JE39" s="15">
        <v>0</v>
      </c>
      <c r="JF39" s="15">
        <v>0</v>
      </c>
      <c r="JG39" s="15">
        <v>0</v>
      </c>
      <c r="JH39" s="15">
        <v>0</v>
      </c>
      <c r="JI39" s="15">
        <v>0</v>
      </c>
      <c r="JJ39" s="15">
        <v>0</v>
      </c>
      <c r="JK39" s="15">
        <v>0</v>
      </c>
      <c r="JL39" s="15" t="s">
        <v>234</v>
      </c>
      <c r="JM39" s="45">
        <v>1</v>
      </c>
      <c r="JN39" s="45">
        <v>1</v>
      </c>
      <c r="JO39" s="15">
        <v>0</v>
      </c>
      <c r="JP39" s="15">
        <v>1</v>
      </c>
      <c r="JQ39" s="15">
        <v>1</v>
      </c>
      <c r="JR39" s="15">
        <v>1</v>
      </c>
      <c r="JS39" s="15">
        <v>0</v>
      </c>
      <c r="JT39" s="15">
        <v>1</v>
      </c>
      <c r="JU39" s="15">
        <v>1</v>
      </c>
      <c r="JV39" s="15">
        <v>1</v>
      </c>
      <c r="JW39" s="15">
        <v>1</v>
      </c>
      <c r="JX39" s="15">
        <v>0</v>
      </c>
      <c r="JY39" s="15">
        <v>0</v>
      </c>
      <c r="JZ39" s="15">
        <v>0</v>
      </c>
      <c r="KA39" s="15">
        <v>0</v>
      </c>
      <c r="KB39" s="15">
        <v>1</v>
      </c>
      <c r="KC39" s="15">
        <v>1</v>
      </c>
      <c r="KD39" s="15">
        <v>0</v>
      </c>
      <c r="KE39" s="15">
        <v>0</v>
      </c>
      <c r="KF39" s="15">
        <v>0</v>
      </c>
      <c r="KI39">
        <v>1</v>
      </c>
      <c r="KJ39">
        <v>1</v>
      </c>
      <c r="KK39">
        <v>1</v>
      </c>
      <c r="KL39">
        <v>0</v>
      </c>
      <c r="KM39">
        <v>1</v>
      </c>
      <c r="KN39">
        <v>1</v>
      </c>
      <c r="KO39">
        <v>1</v>
      </c>
      <c r="KP39">
        <v>0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0</v>
      </c>
      <c r="KZ39">
        <v>0</v>
      </c>
      <c r="LA39">
        <v>1</v>
      </c>
      <c r="LB39">
        <v>0</v>
      </c>
      <c r="LC39">
        <v>0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U39">
        <v>1</v>
      </c>
      <c r="LV39">
        <v>1</v>
      </c>
      <c r="LW39">
        <v>0</v>
      </c>
      <c r="LX39">
        <v>1</v>
      </c>
      <c r="LY39">
        <v>1</v>
      </c>
      <c r="LZ39">
        <v>1</v>
      </c>
      <c r="MA39">
        <v>0</v>
      </c>
      <c r="MB39">
        <v>1</v>
      </c>
      <c r="MC39">
        <v>1</v>
      </c>
      <c r="MD39">
        <v>1</v>
      </c>
      <c r="ME39">
        <v>1</v>
      </c>
      <c r="MF39">
        <v>0</v>
      </c>
      <c r="MG39">
        <v>0</v>
      </c>
      <c r="MH39">
        <v>0</v>
      </c>
      <c r="MI39">
        <v>0</v>
      </c>
      <c r="MJ39">
        <v>1</v>
      </c>
      <c r="MK39">
        <v>1</v>
      </c>
      <c r="ML39">
        <v>0</v>
      </c>
      <c r="MM39">
        <v>0</v>
      </c>
      <c r="MN39">
        <v>0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</row>
    <row r="40" spans="1:358" ht="18" x14ac:dyDescent="0.25">
      <c r="A40" t="s">
        <v>432</v>
      </c>
      <c r="B40" s="3">
        <v>79</v>
      </c>
      <c r="C40" s="4">
        <v>0</v>
      </c>
      <c r="D40" s="3">
        <v>0</v>
      </c>
      <c r="E40" s="3"/>
      <c r="F40" s="55">
        <v>159</v>
      </c>
      <c r="G40" s="55"/>
      <c r="H40" s="57">
        <v>0</v>
      </c>
      <c r="I40" s="57">
        <v>0</v>
      </c>
      <c r="J40" s="57"/>
      <c r="L40"/>
      <c r="O40" s="1">
        <v>45051</v>
      </c>
      <c r="P40" s="64">
        <f t="shared" si="0"/>
        <v>159</v>
      </c>
      <c r="Q40">
        <v>1</v>
      </c>
      <c r="R40">
        <v>0</v>
      </c>
      <c r="U40">
        <v>1</v>
      </c>
      <c r="V40">
        <v>1</v>
      </c>
      <c r="W40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75</v>
      </c>
      <c r="AO40">
        <v>174</v>
      </c>
      <c r="AP40">
        <v>24.8</v>
      </c>
      <c r="AQ40">
        <v>37.1</v>
      </c>
      <c r="AR40">
        <v>148</v>
      </c>
      <c r="AS40">
        <v>81</v>
      </c>
      <c r="AV40">
        <v>85</v>
      </c>
      <c r="AW40" s="1">
        <v>44892</v>
      </c>
      <c r="AX40" s="1">
        <v>44892</v>
      </c>
      <c r="AY40">
        <v>0</v>
      </c>
      <c r="AZ40" s="1">
        <v>44880</v>
      </c>
      <c r="BA40">
        <v>1</v>
      </c>
      <c r="BB40">
        <v>0</v>
      </c>
      <c r="BC40">
        <v>0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 s="66">
        <v>0</v>
      </c>
      <c r="BN40">
        <v>0</v>
      </c>
      <c r="BO40">
        <v>0</v>
      </c>
      <c r="BP40" s="66">
        <f t="shared" si="17"/>
        <v>0</v>
      </c>
      <c r="BQ40">
        <v>0</v>
      </c>
      <c r="BR40">
        <v>0</v>
      </c>
      <c r="BS40">
        <v>0</v>
      </c>
      <c r="BT40">
        <v>0</v>
      </c>
      <c r="BU40" s="66">
        <f t="shared" si="18"/>
        <v>0</v>
      </c>
      <c r="BV40">
        <v>0</v>
      </c>
      <c r="BW40">
        <v>0</v>
      </c>
      <c r="BX40" s="66">
        <f t="shared" si="3"/>
        <v>0</v>
      </c>
      <c r="BY40">
        <v>0</v>
      </c>
      <c r="BZ40">
        <f t="shared" si="4"/>
        <v>0</v>
      </c>
      <c r="CA40">
        <v>0</v>
      </c>
      <c r="CB40">
        <v>0</v>
      </c>
      <c r="CC40">
        <v>2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1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1</v>
      </c>
      <c r="CY40">
        <v>0</v>
      </c>
      <c r="DA40" s="1">
        <v>44893</v>
      </c>
      <c r="DB40" s="66">
        <f t="shared" si="5"/>
        <v>13</v>
      </c>
      <c r="DC40" t="s">
        <v>1</v>
      </c>
      <c r="DD40">
        <v>0</v>
      </c>
      <c r="DE40" s="1">
        <v>44902</v>
      </c>
      <c r="DF40">
        <v>10</v>
      </c>
      <c r="DG40" s="1">
        <v>44894</v>
      </c>
      <c r="DH40">
        <v>13</v>
      </c>
      <c r="DI40">
        <v>11</v>
      </c>
      <c r="DJ40">
        <v>1.7</v>
      </c>
      <c r="DK40" s="66">
        <v>268</v>
      </c>
      <c r="DL40">
        <v>5.24</v>
      </c>
      <c r="DM40">
        <v>77</v>
      </c>
      <c r="DN40">
        <v>1607</v>
      </c>
      <c r="DO40">
        <v>2</v>
      </c>
      <c r="DP40">
        <v>268</v>
      </c>
      <c r="DQ40">
        <v>1607</v>
      </c>
      <c r="DR40">
        <v>68</v>
      </c>
      <c r="DS40">
        <v>5.3</v>
      </c>
      <c r="DW40" s="1">
        <v>44892</v>
      </c>
      <c r="DX40">
        <v>14</v>
      </c>
      <c r="DY40">
        <v>10.3</v>
      </c>
      <c r="DZ40">
        <v>0</v>
      </c>
      <c r="EA40">
        <v>14</v>
      </c>
      <c r="EB40">
        <v>0</v>
      </c>
      <c r="EC40">
        <v>1.0900000000000001</v>
      </c>
      <c r="ED40">
        <f t="shared" ref="ED40:ED41" si="19">EF40</f>
        <v>1.0900000000000001</v>
      </c>
      <c r="EE40">
        <v>0</v>
      </c>
      <c r="EF40">
        <v>1.0900000000000001</v>
      </c>
      <c r="EG40">
        <v>0</v>
      </c>
      <c r="EH40">
        <v>50</v>
      </c>
      <c r="EI40" s="62">
        <v>0.06</v>
      </c>
      <c r="EJ40">
        <v>3</v>
      </c>
      <c r="EK40">
        <v>0</v>
      </c>
      <c r="EL40">
        <f t="shared" si="6"/>
        <v>-47</v>
      </c>
      <c r="EM40">
        <v>50</v>
      </c>
      <c r="EN40">
        <v>0</v>
      </c>
      <c r="ER40">
        <v>25</v>
      </c>
      <c r="ET40">
        <v>35</v>
      </c>
      <c r="EU40">
        <v>57</v>
      </c>
      <c r="EV40">
        <v>211</v>
      </c>
      <c r="EW40">
        <v>96</v>
      </c>
      <c r="EX40">
        <v>5</v>
      </c>
      <c r="EY40">
        <v>2</v>
      </c>
      <c r="FC40">
        <v>0</v>
      </c>
      <c r="FF40">
        <v>0</v>
      </c>
      <c r="FG40">
        <v>0</v>
      </c>
      <c r="FI40"/>
      <c r="FK40">
        <v>0</v>
      </c>
      <c r="FL40">
        <v>0</v>
      </c>
      <c r="FO40">
        <v>0</v>
      </c>
      <c r="FQ40" s="22">
        <v>44892</v>
      </c>
      <c r="FR40" s="22" t="s">
        <v>230</v>
      </c>
      <c r="FS40" s="15">
        <v>1</v>
      </c>
      <c r="FT40" s="15">
        <v>0</v>
      </c>
      <c r="FU40" s="15">
        <v>1</v>
      </c>
      <c r="FV40" s="15">
        <v>0</v>
      </c>
      <c r="FW40" s="15">
        <v>1</v>
      </c>
      <c r="FX40" s="15">
        <v>0</v>
      </c>
      <c r="FY40" s="15">
        <v>0</v>
      </c>
      <c r="FZ40" s="15">
        <v>0</v>
      </c>
      <c r="GA40" s="15">
        <v>1</v>
      </c>
      <c r="GB40" s="15">
        <v>1</v>
      </c>
      <c r="GC40" s="15">
        <v>0</v>
      </c>
      <c r="GD40" s="15">
        <v>1</v>
      </c>
      <c r="GE40" s="15">
        <v>1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1</v>
      </c>
      <c r="GL40" s="15">
        <v>0</v>
      </c>
      <c r="GM40" s="15">
        <v>1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1</v>
      </c>
      <c r="GV40" s="15">
        <v>1</v>
      </c>
      <c r="GW40" s="15">
        <v>0</v>
      </c>
      <c r="GX40" s="15" t="s">
        <v>233</v>
      </c>
      <c r="GY40" s="15">
        <v>1</v>
      </c>
      <c r="GZ40" s="15">
        <v>0</v>
      </c>
      <c r="HA40" s="15">
        <v>0</v>
      </c>
      <c r="HB40" s="15">
        <v>1</v>
      </c>
      <c r="HC40" s="15">
        <v>1</v>
      </c>
      <c r="HD40" s="15" t="s">
        <v>233</v>
      </c>
      <c r="HE40" s="45">
        <v>1</v>
      </c>
      <c r="HF40" s="15">
        <v>0</v>
      </c>
      <c r="HG40" s="15">
        <v>0</v>
      </c>
      <c r="HH40" s="15">
        <v>1</v>
      </c>
      <c r="HI40" s="15">
        <v>1</v>
      </c>
      <c r="HJ40" s="15">
        <v>1</v>
      </c>
      <c r="HK40" s="15">
        <v>0</v>
      </c>
      <c r="HL40" s="15">
        <v>1</v>
      </c>
      <c r="HM40" s="15">
        <v>0</v>
      </c>
      <c r="HN40" s="15">
        <v>0</v>
      </c>
      <c r="HO40" s="15">
        <v>1</v>
      </c>
      <c r="HP40" s="15">
        <v>0</v>
      </c>
      <c r="HQ40" s="15">
        <v>0</v>
      </c>
      <c r="HR40" s="15">
        <v>0</v>
      </c>
      <c r="HS40" s="15">
        <v>0</v>
      </c>
      <c r="HT40" s="15">
        <v>1</v>
      </c>
      <c r="HU40" s="15">
        <v>1</v>
      </c>
      <c r="HV40" s="15">
        <v>0</v>
      </c>
      <c r="HW40" s="15">
        <v>0</v>
      </c>
      <c r="HX40" s="15">
        <v>0</v>
      </c>
      <c r="HY40" s="22">
        <v>44902</v>
      </c>
      <c r="HZ40" s="15" t="s">
        <v>231</v>
      </c>
      <c r="IA40" s="15">
        <v>0</v>
      </c>
      <c r="IB40" s="15">
        <v>0</v>
      </c>
      <c r="IC40" s="15">
        <v>1</v>
      </c>
      <c r="ID40" s="15">
        <v>0</v>
      </c>
      <c r="IE40" s="15">
        <v>1</v>
      </c>
      <c r="IF40" s="15">
        <v>0</v>
      </c>
      <c r="IG40" s="15">
        <v>0</v>
      </c>
      <c r="IH40" s="15">
        <v>0</v>
      </c>
      <c r="II40" s="15">
        <v>1</v>
      </c>
      <c r="IJ40" s="15">
        <v>1</v>
      </c>
      <c r="IK40" s="15">
        <v>0</v>
      </c>
      <c r="IL40" s="15">
        <v>1</v>
      </c>
      <c r="IM40" s="15">
        <v>1</v>
      </c>
      <c r="IN40" s="15">
        <v>0</v>
      </c>
      <c r="IO40" s="15">
        <v>0</v>
      </c>
      <c r="IP40" s="15">
        <v>0</v>
      </c>
      <c r="IQ40" s="15">
        <v>0</v>
      </c>
      <c r="IR40" s="15">
        <v>0</v>
      </c>
      <c r="IS40" s="15">
        <v>1</v>
      </c>
      <c r="IT40" s="15">
        <v>0</v>
      </c>
      <c r="IU40" s="15">
        <v>1</v>
      </c>
      <c r="IV40" s="15">
        <v>0</v>
      </c>
      <c r="IW40" s="15">
        <v>1</v>
      </c>
      <c r="IX40" s="15">
        <v>1</v>
      </c>
      <c r="IY40" s="15">
        <v>0</v>
      </c>
      <c r="IZ40" s="15">
        <v>1</v>
      </c>
      <c r="JA40" s="15">
        <v>0</v>
      </c>
      <c r="JB40" s="15">
        <v>0</v>
      </c>
      <c r="JC40" s="15">
        <v>1</v>
      </c>
      <c r="JD40" s="15">
        <v>1</v>
      </c>
      <c r="JE40" s="15">
        <v>0</v>
      </c>
      <c r="JF40" s="15" t="s">
        <v>233</v>
      </c>
      <c r="JG40" s="15">
        <v>1</v>
      </c>
      <c r="JH40" s="15">
        <v>0</v>
      </c>
      <c r="JI40" s="15">
        <v>0</v>
      </c>
      <c r="JJ40" s="15">
        <v>1</v>
      </c>
      <c r="JK40" s="15">
        <v>1</v>
      </c>
      <c r="JL40" s="15" t="s">
        <v>233</v>
      </c>
      <c r="JM40" s="45">
        <v>1</v>
      </c>
      <c r="JN40" s="15"/>
      <c r="JO40" s="15">
        <v>0</v>
      </c>
      <c r="JP40" s="15">
        <v>0</v>
      </c>
      <c r="JQ40" s="15">
        <v>0</v>
      </c>
      <c r="JR40" s="15">
        <v>0</v>
      </c>
      <c r="JS40" s="15">
        <v>0</v>
      </c>
      <c r="JT40" s="15">
        <v>0</v>
      </c>
      <c r="JU40" s="15">
        <v>0</v>
      </c>
      <c r="JV40" s="15">
        <v>0</v>
      </c>
      <c r="JW40" s="15">
        <v>0</v>
      </c>
      <c r="JX40" s="15">
        <v>0</v>
      </c>
      <c r="JY40" s="15">
        <v>0</v>
      </c>
      <c r="JZ40" s="15">
        <v>0</v>
      </c>
      <c r="KA40" s="15">
        <v>0</v>
      </c>
      <c r="KB40" s="15">
        <v>0</v>
      </c>
      <c r="KC40" s="15">
        <v>0</v>
      </c>
      <c r="KD40" s="15">
        <v>0</v>
      </c>
      <c r="KE40" s="15">
        <v>0</v>
      </c>
      <c r="KF40" s="15">
        <v>0</v>
      </c>
      <c r="KI40">
        <v>1</v>
      </c>
      <c r="KJ40">
        <v>0</v>
      </c>
      <c r="KK40">
        <v>1</v>
      </c>
      <c r="KL40">
        <v>0</v>
      </c>
      <c r="KM40">
        <v>1</v>
      </c>
      <c r="KN40">
        <v>0</v>
      </c>
      <c r="KO40">
        <v>0</v>
      </c>
      <c r="KP40">
        <v>0</v>
      </c>
      <c r="KQ40">
        <v>1</v>
      </c>
      <c r="KR40">
        <v>1</v>
      </c>
      <c r="KS40">
        <v>0</v>
      </c>
      <c r="KT40">
        <v>1</v>
      </c>
      <c r="KU40">
        <v>1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1</v>
      </c>
      <c r="LB40">
        <v>0</v>
      </c>
      <c r="LC40">
        <v>1</v>
      </c>
      <c r="LD40">
        <v>0</v>
      </c>
      <c r="LE40">
        <v>1</v>
      </c>
      <c r="LF40">
        <v>1</v>
      </c>
      <c r="LG40">
        <v>0</v>
      </c>
      <c r="LH40">
        <v>1</v>
      </c>
      <c r="LI40">
        <v>0</v>
      </c>
      <c r="LJ40">
        <v>0</v>
      </c>
      <c r="LK40">
        <v>1</v>
      </c>
      <c r="LL40">
        <v>1</v>
      </c>
      <c r="LM40">
        <v>0</v>
      </c>
      <c r="LO40">
        <v>1</v>
      </c>
      <c r="LP40">
        <v>0</v>
      </c>
      <c r="LQ40">
        <v>0</v>
      </c>
      <c r="LR40">
        <v>1</v>
      </c>
      <c r="LS40">
        <v>1</v>
      </c>
      <c r="LU40">
        <v>1</v>
      </c>
      <c r="LV40">
        <v>0</v>
      </c>
      <c r="LW40">
        <v>0</v>
      </c>
      <c r="LX40">
        <v>1</v>
      </c>
      <c r="LY40">
        <v>1</v>
      </c>
      <c r="LZ40">
        <v>1</v>
      </c>
      <c r="MA40">
        <v>0</v>
      </c>
      <c r="MB40">
        <v>1</v>
      </c>
      <c r="MC40">
        <v>0</v>
      </c>
      <c r="MD40">
        <v>0</v>
      </c>
      <c r="ME40">
        <v>1</v>
      </c>
      <c r="MF40">
        <v>0</v>
      </c>
      <c r="MG40">
        <v>0</v>
      </c>
      <c r="MH40">
        <v>0</v>
      </c>
      <c r="MI40">
        <v>0</v>
      </c>
      <c r="MJ40">
        <v>1</v>
      </c>
      <c r="MK40">
        <v>1</v>
      </c>
      <c r="ML40">
        <v>0</v>
      </c>
      <c r="MM40">
        <v>0</v>
      </c>
      <c r="MN40">
        <v>0</v>
      </c>
      <c r="MO40">
        <v>1</v>
      </c>
      <c r="MP40">
        <v>0</v>
      </c>
      <c r="MQ40">
        <v>1</v>
      </c>
      <c r="MR40">
        <v>1</v>
      </c>
      <c r="MS40">
        <v>0</v>
      </c>
      <c r="MT40">
        <v>0</v>
      </c>
    </row>
    <row r="41" spans="1:358" ht="18" x14ac:dyDescent="0.25">
      <c r="A41" t="s">
        <v>433</v>
      </c>
      <c r="B41" s="3">
        <v>70</v>
      </c>
      <c r="C41" s="3">
        <v>0</v>
      </c>
      <c r="D41" s="3">
        <v>0</v>
      </c>
      <c r="E41" s="3"/>
      <c r="F41" s="55">
        <v>503</v>
      </c>
      <c r="G41" s="55"/>
      <c r="H41" s="57">
        <v>0</v>
      </c>
      <c r="I41" s="57">
        <v>0</v>
      </c>
      <c r="J41" s="57"/>
      <c r="K41" s="3"/>
      <c r="L41" s="3"/>
      <c r="M41" s="3"/>
      <c r="N41" s="3">
        <v>0</v>
      </c>
      <c r="O41" s="2">
        <v>45071</v>
      </c>
      <c r="P41" s="64">
        <f t="shared" si="0"/>
        <v>503</v>
      </c>
      <c r="Q41">
        <v>1</v>
      </c>
      <c r="R41">
        <v>0</v>
      </c>
      <c r="S41">
        <v>1</v>
      </c>
      <c r="T41">
        <v>92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116</v>
      </c>
      <c r="AO41">
        <v>175</v>
      </c>
      <c r="AP41">
        <v>37.9</v>
      </c>
      <c r="AQ41">
        <v>36.5</v>
      </c>
      <c r="AR41">
        <v>147</v>
      </c>
      <c r="AS41">
        <v>73</v>
      </c>
      <c r="AT41">
        <v>2</v>
      </c>
      <c r="AU41">
        <v>0</v>
      </c>
      <c r="AW41" s="1">
        <v>44568</v>
      </c>
      <c r="AX41" s="1">
        <v>44568</v>
      </c>
      <c r="AY41">
        <v>0</v>
      </c>
      <c r="AZ41" s="1">
        <v>44568</v>
      </c>
      <c r="BA41">
        <v>1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0</v>
      </c>
      <c r="BK41">
        <v>0</v>
      </c>
      <c r="BL41">
        <v>0</v>
      </c>
      <c r="BM41" s="66">
        <v>0</v>
      </c>
      <c r="BN41">
        <v>1</v>
      </c>
      <c r="BO41">
        <v>0</v>
      </c>
      <c r="BP41" s="66">
        <f t="shared" si="17"/>
        <v>1</v>
      </c>
      <c r="BQ41">
        <v>0</v>
      </c>
      <c r="BR41">
        <v>0</v>
      </c>
      <c r="BS41">
        <v>0</v>
      </c>
      <c r="BT41">
        <v>0</v>
      </c>
      <c r="BU41" s="66">
        <f t="shared" si="18"/>
        <v>0</v>
      </c>
      <c r="BV41">
        <v>1</v>
      </c>
      <c r="BW41">
        <v>0</v>
      </c>
      <c r="BX41" s="66">
        <f t="shared" si="3"/>
        <v>1</v>
      </c>
      <c r="BY41">
        <v>0</v>
      </c>
      <c r="BZ41">
        <f t="shared" si="4"/>
        <v>0</v>
      </c>
      <c r="CA41">
        <v>0</v>
      </c>
      <c r="CB41">
        <v>0</v>
      </c>
      <c r="CC41">
        <v>2</v>
      </c>
      <c r="CD41">
        <v>0</v>
      </c>
      <c r="CE41">
        <v>0</v>
      </c>
      <c r="CF41">
        <v>0</v>
      </c>
      <c r="CG41">
        <v>1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1</v>
      </c>
      <c r="CY41">
        <v>0</v>
      </c>
      <c r="DA41" s="1">
        <v>44572</v>
      </c>
      <c r="DB41" s="66">
        <f t="shared" si="5"/>
        <v>4</v>
      </c>
      <c r="DC41" t="s">
        <v>6</v>
      </c>
      <c r="DD41">
        <v>0</v>
      </c>
      <c r="DE41" s="1">
        <v>44578</v>
      </c>
      <c r="DF41">
        <v>7</v>
      </c>
      <c r="DG41" s="1">
        <v>44573</v>
      </c>
      <c r="DH41">
        <v>12</v>
      </c>
      <c r="DI41">
        <v>4.2</v>
      </c>
      <c r="DJ41">
        <v>1.7</v>
      </c>
      <c r="DK41" s="66">
        <v>279</v>
      </c>
      <c r="DL41">
        <v>6</v>
      </c>
      <c r="DM41">
        <v>77</v>
      </c>
      <c r="DN41">
        <v>362</v>
      </c>
      <c r="DO41">
        <v>8</v>
      </c>
      <c r="DP41">
        <v>279</v>
      </c>
      <c r="DQ41">
        <v>362</v>
      </c>
      <c r="DR41">
        <v>117</v>
      </c>
      <c r="DS41">
        <v>7.5</v>
      </c>
      <c r="DW41" s="1">
        <v>44568</v>
      </c>
      <c r="DX41">
        <v>7</v>
      </c>
      <c r="DY41">
        <v>6</v>
      </c>
      <c r="DZ41">
        <v>0</v>
      </c>
      <c r="EA41">
        <v>7</v>
      </c>
      <c r="EB41">
        <v>0</v>
      </c>
      <c r="EC41">
        <v>0.9</v>
      </c>
      <c r="ED41">
        <f t="shared" si="19"/>
        <v>0.9</v>
      </c>
      <c r="EE41">
        <v>0</v>
      </c>
      <c r="EF41">
        <v>0.9</v>
      </c>
      <c r="EG41">
        <v>0</v>
      </c>
      <c r="EH41">
        <v>173</v>
      </c>
      <c r="EI41" s="62">
        <v>0.19653179190751399</v>
      </c>
      <c r="EJ41">
        <v>34</v>
      </c>
      <c r="EK41">
        <v>0</v>
      </c>
      <c r="EL41">
        <f t="shared" si="6"/>
        <v>-139</v>
      </c>
      <c r="EM41">
        <v>173</v>
      </c>
      <c r="EN41">
        <v>0</v>
      </c>
      <c r="ER41">
        <v>25</v>
      </c>
      <c r="ET41">
        <v>56</v>
      </c>
      <c r="EU41">
        <v>33</v>
      </c>
      <c r="EV41">
        <v>227</v>
      </c>
      <c r="EW41">
        <v>56</v>
      </c>
      <c r="EX41">
        <v>22</v>
      </c>
      <c r="EY41">
        <v>15</v>
      </c>
      <c r="FC41">
        <v>0</v>
      </c>
      <c r="FF41">
        <v>1</v>
      </c>
      <c r="FG41">
        <v>0</v>
      </c>
      <c r="FI41"/>
      <c r="FK41">
        <v>0</v>
      </c>
      <c r="FL41">
        <v>0</v>
      </c>
      <c r="FO41">
        <v>0</v>
      </c>
      <c r="FQ41" s="22">
        <v>44568</v>
      </c>
      <c r="FR41" s="22" t="s">
        <v>230</v>
      </c>
      <c r="FS41" s="15">
        <v>1</v>
      </c>
      <c r="FT41" s="15">
        <v>0</v>
      </c>
      <c r="FU41" s="15">
        <v>1</v>
      </c>
      <c r="FV41" s="15">
        <v>0</v>
      </c>
      <c r="FW41" s="15">
        <v>1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1</v>
      </c>
      <c r="GD41" s="15">
        <v>1</v>
      </c>
      <c r="GE41" s="15">
        <v>0</v>
      </c>
      <c r="GF41" s="15">
        <v>0</v>
      </c>
      <c r="GG41" s="15">
        <v>0</v>
      </c>
      <c r="GH41" s="15">
        <v>0</v>
      </c>
      <c r="GI41" s="15">
        <v>1</v>
      </c>
      <c r="GJ41" s="15">
        <v>0</v>
      </c>
      <c r="GK41" s="15">
        <v>0</v>
      </c>
      <c r="GL41" s="15">
        <v>0</v>
      </c>
      <c r="GM41" s="15">
        <v>1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1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1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1</v>
      </c>
      <c r="HI41" s="15">
        <v>1</v>
      </c>
      <c r="HJ41" s="15">
        <v>1</v>
      </c>
      <c r="HK41" s="15">
        <v>0</v>
      </c>
      <c r="HL41" s="15">
        <v>1</v>
      </c>
      <c r="HM41" s="15">
        <v>0</v>
      </c>
      <c r="HN41" s="15">
        <v>0</v>
      </c>
      <c r="HO41" s="15">
        <v>1</v>
      </c>
      <c r="HP41" s="15">
        <v>0</v>
      </c>
      <c r="HQ41" s="15">
        <v>0</v>
      </c>
      <c r="HR41" s="15">
        <v>0</v>
      </c>
      <c r="HS41" s="15">
        <v>0</v>
      </c>
      <c r="HT41" s="15">
        <v>1</v>
      </c>
      <c r="HU41" s="15">
        <v>1</v>
      </c>
      <c r="HV41" s="15">
        <v>0</v>
      </c>
      <c r="HW41" s="15">
        <v>0</v>
      </c>
      <c r="HX41" s="15">
        <v>0</v>
      </c>
      <c r="HY41" s="15"/>
      <c r="HZ41" s="15"/>
      <c r="IA41" s="15"/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  <c r="IM41" s="15"/>
      <c r="IN41" s="15"/>
      <c r="IO41" s="15"/>
      <c r="IP41" s="15"/>
      <c r="IQ41" s="15"/>
      <c r="IR41" s="15"/>
      <c r="IS41" s="15"/>
      <c r="IT41" s="15"/>
      <c r="IU41" s="15"/>
      <c r="IV41" s="15"/>
      <c r="IW41" s="15"/>
      <c r="IX41" s="15"/>
      <c r="IY41" s="15"/>
      <c r="IZ41" s="15"/>
      <c r="JA41" s="15"/>
      <c r="JB41" s="15"/>
      <c r="JC41" s="15"/>
      <c r="JD41" s="15"/>
      <c r="JE41" s="15"/>
      <c r="JF41" s="15"/>
      <c r="JG41" s="15"/>
      <c r="JH41" s="15"/>
      <c r="JI41" s="15"/>
      <c r="JJ41" s="15"/>
      <c r="JK41" s="15"/>
      <c r="JL41" s="15"/>
      <c r="JM41" s="15"/>
      <c r="JN41" s="15"/>
      <c r="JO41" s="15"/>
      <c r="JP41" s="15"/>
      <c r="JQ41" s="15"/>
      <c r="JR41" s="15"/>
      <c r="JS41" s="15"/>
      <c r="JT41" s="15"/>
      <c r="JU41" s="15"/>
      <c r="JV41" s="15"/>
      <c r="JW41" s="15"/>
      <c r="JX41" s="15"/>
      <c r="JY41" s="15"/>
      <c r="JZ41" s="15"/>
      <c r="KA41" s="15"/>
      <c r="KB41" s="15"/>
      <c r="KC41" s="15"/>
      <c r="KD41" s="15"/>
      <c r="KE41" s="15"/>
      <c r="KF41" s="15"/>
      <c r="KI41">
        <v>1</v>
      </c>
      <c r="KJ41">
        <v>0</v>
      </c>
      <c r="KK41">
        <v>1</v>
      </c>
      <c r="KL41">
        <v>0</v>
      </c>
      <c r="KM41">
        <v>1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1</v>
      </c>
      <c r="KT41">
        <v>1</v>
      </c>
      <c r="KU41">
        <v>0</v>
      </c>
      <c r="KV41">
        <v>0</v>
      </c>
      <c r="KW41">
        <v>0</v>
      </c>
      <c r="KX41">
        <v>0</v>
      </c>
      <c r="KY41">
        <v>1</v>
      </c>
      <c r="KZ41">
        <v>0</v>
      </c>
      <c r="LA41">
        <v>0</v>
      </c>
      <c r="LB41">
        <v>0</v>
      </c>
      <c r="LC41">
        <v>1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1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1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1</v>
      </c>
      <c r="LY41">
        <v>1</v>
      </c>
      <c r="LZ41">
        <v>1</v>
      </c>
      <c r="MA41">
        <v>0</v>
      </c>
      <c r="MB41">
        <v>1</v>
      </c>
      <c r="MC41">
        <v>0</v>
      </c>
      <c r="MD41">
        <v>0</v>
      </c>
      <c r="ME41">
        <v>1</v>
      </c>
      <c r="MF41">
        <v>0</v>
      </c>
      <c r="MG41">
        <v>0</v>
      </c>
      <c r="MH41">
        <v>0</v>
      </c>
      <c r="MI41">
        <v>0</v>
      </c>
      <c r="MJ41">
        <v>1</v>
      </c>
      <c r="MK41">
        <v>1</v>
      </c>
      <c r="ML41">
        <v>0</v>
      </c>
      <c r="MM41">
        <v>0</v>
      </c>
      <c r="MN41">
        <v>0</v>
      </c>
      <c r="MO41">
        <v>1</v>
      </c>
      <c r="MP41">
        <v>0</v>
      </c>
      <c r="MQ41">
        <v>1</v>
      </c>
      <c r="MR41">
        <v>1</v>
      </c>
    </row>
    <row r="42" spans="1:358" s="39" customFormat="1" ht="18" x14ac:dyDescent="0.25">
      <c r="A42" t="s">
        <v>434</v>
      </c>
      <c r="B42" s="40">
        <v>29</v>
      </c>
      <c r="C42" s="40">
        <v>0</v>
      </c>
      <c r="D42" s="40">
        <v>0</v>
      </c>
      <c r="E42" s="40"/>
      <c r="F42" s="55">
        <v>1322</v>
      </c>
      <c r="G42" s="55"/>
      <c r="H42" s="57">
        <v>0</v>
      </c>
      <c r="I42" s="57">
        <v>0</v>
      </c>
      <c r="J42" s="57"/>
      <c r="K42" s="40"/>
      <c r="L42" s="40"/>
      <c r="M42" s="40"/>
      <c r="N42" s="40">
        <v>0</v>
      </c>
      <c r="O42" s="42">
        <v>45079</v>
      </c>
      <c r="P42" s="64">
        <f t="shared" si="0"/>
        <v>1322</v>
      </c>
      <c r="Q42" s="39">
        <v>1</v>
      </c>
      <c r="R42" s="39">
        <v>1</v>
      </c>
      <c r="S42" s="39">
        <v>1</v>
      </c>
      <c r="T42" s="39">
        <v>93</v>
      </c>
      <c r="U42" s="39">
        <v>0</v>
      </c>
      <c r="V42" s="39">
        <v>1</v>
      </c>
      <c r="W42" s="39">
        <v>0</v>
      </c>
      <c r="X42" s="39">
        <v>0</v>
      </c>
      <c r="Y42" s="39">
        <v>0</v>
      </c>
      <c r="Z42" s="39">
        <v>1</v>
      </c>
      <c r="AA42" s="39">
        <v>1</v>
      </c>
      <c r="AB42" s="39">
        <v>1</v>
      </c>
      <c r="AC42" s="39">
        <v>0</v>
      </c>
      <c r="AD42" s="39">
        <v>0</v>
      </c>
      <c r="AE42" s="39">
        <v>0</v>
      </c>
      <c r="AF42" s="39">
        <v>0</v>
      </c>
      <c r="AG42" s="39">
        <v>0</v>
      </c>
      <c r="AH42" s="39">
        <v>0</v>
      </c>
      <c r="AI42" s="39">
        <v>0</v>
      </c>
      <c r="AJ42" s="39">
        <v>0</v>
      </c>
      <c r="AK42" s="39">
        <v>0</v>
      </c>
      <c r="AL42" s="39">
        <v>0</v>
      </c>
      <c r="AM42" s="39">
        <v>0</v>
      </c>
      <c r="AN42" s="39">
        <v>74</v>
      </c>
      <c r="AO42" s="39">
        <v>193</v>
      </c>
      <c r="AP42" s="39">
        <v>19.899999999999999</v>
      </c>
      <c r="AQ42" s="39">
        <v>36.200000000000003</v>
      </c>
      <c r="AR42" s="39">
        <v>110</v>
      </c>
      <c r="AS42" s="39">
        <v>78</v>
      </c>
      <c r="AT42" s="39">
        <v>1</v>
      </c>
      <c r="AU42">
        <v>0</v>
      </c>
      <c r="AV42" s="39">
        <v>85</v>
      </c>
      <c r="AW42" s="43">
        <v>43756</v>
      </c>
      <c r="AX42" s="43">
        <v>43757</v>
      </c>
      <c r="AY42" s="39">
        <v>0</v>
      </c>
      <c r="AZ42" s="43">
        <v>43756</v>
      </c>
      <c r="BA42" s="39">
        <v>0</v>
      </c>
      <c r="BB42" s="39">
        <v>0</v>
      </c>
      <c r="BC42" s="39">
        <v>0</v>
      </c>
      <c r="BD42" s="39">
        <v>1</v>
      </c>
      <c r="BE42" s="39">
        <v>0</v>
      </c>
      <c r="BF42" s="39">
        <v>0</v>
      </c>
      <c r="BG42" s="39">
        <v>0</v>
      </c>
      <c r="BH42" s="39">
        <v>0</v>
      </c>
      <c r="BI42" s="39">
        <v>1</v>
      </c>
      <c r="BJ42">
        <v>0</v>
      </c>
      <c r="BK42">
        <v>0</v>
      </c>
      <c r="BL42">
        <v>0</v>
      </c>
      <c r="BM42" s="66">
        <v>0</v>
      </c>
      <c r="BN42">
        <v>0</v>
      </c>
      <c r="BO42">
        <v>0</v>
      </c>
      <c r="BP42" s="66">
        <f t="shared" si="17"/>
        <v>0</v>
      </c>
      <c r="BQ42">
        <v>0</v>
      </c>
      <c r="BR42">
        <v>0</v>
      </c>
      <c r="BS42">
        <v>0</v>
      </c>
      <c r="BT42">
        <v>0</v>
      </c>
      <c r="BU42" s="66">
        <f t="shared" si="18"/>
        <v>0</v>
      </c>
      <c r="BV42">
        <v>0</v>
      </c>
      <c r="BW42">
        <v>0</v>
      </c>
      <c r="BX42" s="66">
        <f t="shared" si="3"/>
        <v>0</v>
      </c>
      <c r="BY42">
        <v>0</v>
      </c>
      <c r="BZ42">
        <f t="shared" si="4"/>
        <v>0</v>
      </c>
      <c r="CA42" s="39">
        <v>0</v>
      </c>
      <c r="CB42" s="39">
        <v>0</v>
      </c>
      <c r="CC42" s="39">
        <v>1</v>
      </c>
      <c r="CD42" s="39">
        <v>0</v>
      </c>
      <c r="CE42" s="39">
        <v>0</v>
      </c>
      <c r="CF42" s="39">
        <v>0</v>
      </c>
      <c r="CG42" s="39">
        <v>0</v>
      </c>
      <c r="CH42" s="39">
        <v>0</v>
      </c>
      <c r="CI42" s="39">
        <v>0</v>
      </c>
      <c r="CJ42" s="39">
        <v>0</v>
      </c>
      <c r="CK42" s="39">
        <v>0</v>
      </c>
      <c r="CL42" s="39">
        <v>0</v>
      </c>
      <c r="CM42" s="39">
        <v>0</v>
      </c>
      <c r="CN42" s="39">
        <v>0</v>
      </c>
      <c r="CO42">
        <f t="shared" si="7"/>
        <v>0</v>
      </c>
      <c r="CP42" s="39">
        <v>1</v>
      </c>
      <c r="CQ42" s="39">
        <v>0</v>
      </c>
      <c r="CR42" s="39">
        <v>0</v>
      </c>
      <c r="CS42" s="39">
        <v>0</v>
      </c>
      <c r="CT42" s="39">
        <v>0</v>
      </c>
      <c r="CU42" s="39">
        <v>0</v>
      </c>
      <c r="CV42" s="39">
        <v>1</v>
      </c>
      <c r="CW42" s="31"/>
      <c r="CX42" s="39">
        <v>0</v>
      </c>
      <c r="CY42">
        <v>0</v>
      </c>
      <c r="DA42" s="43">
        <v>43757</v>
      </c>
      <c r="DB42" s="66">
        <f t="shared" si="5"/>
        <v>1</v>
      </c>
      <c r="DC42" s="39" t="s">
        <v>1</v>
      </c>
      <c r="DD42" s="39">
        <v>0</v>
      </c>
      <c r="DE42" s="43">
        <v>43774</v>
      </c>
      <c r="DF42" s="39">
        <v>18</v>
      </c>
      <c r="DG42" s="43">
        <v>43757</v>
      </c>
      <c r="DH42" s="39">
        <v>12</v>
      </c>
      <c r="DI42" s="39">
        <v>9.6999999999999993</v>
      </c>
      <c r="DJ42" s="39">
        <v>1</v>
      </c>
      <c r="DK42" s="80">
        <v>171</v>
      </c>
      <c r="DL42" s="39">
        <v>4</v>
      </c>
      <c r="DM42" s="39">
        <v>50</v>
      </c>
      <c r="DO42" s="39">
        <v>2</v>
      </c>
      <c r="DP42" s="39">
        <v>171</v>
      </c>
      <c r="DR42" s="39">
        <v>102</v>
      </c>
      <c r="DS42" s="39">
        <v>11</v>
      </c>
      <c r="DU42" s="39">
        <v>15</v>
      </c>
      <c r="DW42" s="43">
        <v>43756</v>
      </c>
      <c r="DX42" s="39">
        <v>11.7</v>
      </c>
      <c r="DY42" s="39">
        <v>5</v>
      </c>
      <c r="DZ42">
        <v>0</v>
      </c>
      <c r="EA42" s="39">
        <v>12</v>
      </c>
      <c r="EB42">
        <v>0</v>
      </c>
      <c r="EC42" s="39">
        <v>1.45</v>
      </c>
      <c r="ED42" s="39">
        <v>0.84</v>
      </c>
      <c r="EE42">
        <v>0</v>
      </c>
      <c r="EF42" s="39">
        <v>1.45</v>
      </c>
      <c r="EG42">
        <v>0</v>
      </c>
      <c r="EH42" s="39">
        <v>76</v>
      </c>
      <c r="EI42" s="62">
        <v>1.23684210526316</v>
      </c>
      <c r="EJ42" s="39">
        <v>94</v>
      </c>
      <c r="EK42">
        <v>0</v>
      </c>
      <c r="EL42">
        <f t="shared" si="6"/>
        <v>18</v>
      </c>
      <c r="EM42" s="39">
        <v>156</v>
      </c>
      <c r="EN42">
        <v>0</v>
      </c>
      <c r="EO42" s="39">
        <v>0.64</v>
      </c>
      <c r="EP42" s="39">
        <v>0.44</v>
      </c>
      <c r="EQ42" s="39">
        <v>0.64</v>
      </c>
      <c r="ER42" s="39">
        <v>30</v>
      </c>
      <c r="ES42" s="39">
        <v>122</v>
      </c>
      <c r="ET42" s="39">
        <v>18</v>
      </c>
      <c r="EU42" s="39">
        <v>12</v>
      </c>
      <c r="EV42" s="39">
        <v>25</v>
      </c>
      <c r="EW42" s="39">
        <v>50</v>
      </c>
      <c r="EX42" s="39">
        <v>11</v>
      </c>
      <c r="EY42" s="39">
        <v>8</v>
      </c>
      <c r="FB42">
        <v>0</v>
      </c>
      <c r="FC42" s="39">
        <v>1</v>
      </c>
      <c r="FD42" s="39">
        <v>1</v>
      </c>
      <c r="FE42" s="39" t="e">
        <f>#REF!</f>
        <v>#REF!</v>
      </c>
      <c r="FF42" s="39">
        <v>1</v>
      </c>
      <c r="FG42">
        <v>1</v>
      </c>
      <c r="FH42" s="43">
        <v>43775</v>
      </c>
      <c r="FI42" s="43"/>
      <c r="FJ42" s="43"/>
      <c r="FK42">
        <v>0</v>
      </c>
      <c r="FL42">
        <v>0</v>
      </c>
      <c r="FM42"/>
      <c r="FN42"/>
      <c r="FO42">
        <v>0</v>
      </c>
      <c r="FQ42" s="44">
        <v>43757</v>
      </c>
      <c r="FR42" s="44" t="s">
        <v>230</v>
      </c>
      <c r="FS42" s="45">
        <v>1</v>
      </c>
      <c r="FT42" s="45">
        <v>1</v>
      </c>
      <c r="FU42" s="45">
        <v>1</v>
      </c>
      <c r="FV42" s="45">
        <v>0</v>
      </c>
      <c r="FW42" s="45">
        <v>1</v>
      </c>
      <c r="FX42" s="45">
        <v>0</v>
      </c>
      <c r="FY42" s="45">
        <v>0</v>
      </c>
      <c r="FZ42" s="45">
        <v>0</v>
      </c>
      <c r="GA42" s="45">
        <v>0</v>
      </c>
      <c r="GB42" s="45">
        <v>1</v>
      </c>
      <c r="GC42" s="45">
        <v>0</v>
      </c>
      <c r="GD42" s="45">
        <v>0</v>
      </c>
      <c r="GE42" s="45">
        <v>1</v>
      </c>
      <c r="GF42" s="45">
        <v>1</v>
      </c>
      <c r="GG42" s="45">
        <v>1</v>
      </c>
      <c r="GH42" s="45">
        <v>1</v>
      </c>
      <c r="GI42" s="45">
        <v>0</v>
      </c>
      <c r="GJ42" s="45">
        <v>0</v>
      </c>
      <c r="GK42" s="45">
        <v>1</v>
      </c>
      <c r="GL42" s="45">
        <v>0</v>
      </c>
      <c r="GM42" s="45">
        <v>0</v>
      </c>
      <c r="GN42" s="45">
        <v>1</v>
      </c>
      <c r="GO42" s="45">
        <v>1</v>
      </c>
      <c r="GP42" s="45">
        <v>0</v>
      </c>
      <c r="GQ42" s="45">
        <v>1</v>
      </c>
      <c r="GR42" s="45">
        <v>1</v>
      </c>
      <c r="GS42" s="45">
        <v>1</v>
      </c>
      <c r="GT42" s="45">
        <v>1</v>
      </c>
      <c r="GU42" s="45">
        <v>1</v>
      </c>
      <c r="GV42" s="45">
        <v>0</v>
      </c>
      <c r="GW42" s="45">
        <v>0</v>
      </c>
      <c r="GX42" s="45">
        <v>0</v>
      </c>
      <c r="GY42" s="15">
        <v>0</v>
      </c>
      <c r="GZ42" s="15">
        <v>0</v>
      </c>
      <c r="HA42" s="45">
        <v>0</v>
      </c>
      <c r="HB42" s="45">
        <v>1</v>
      </c>
      <c r="HC42" s="45">
        <v>0</v>
      </c>
      <c r="HD42" s="45">
        <v>0</v>
      </c>
      <c r="HE42" s="15">
        <v>0</v>
      </c>
      <c r="HF42" s="15">
        <v>0</v>
      </c>
      <c r="HG42" s="45">
        <v>0</v>
      </c>
      <c r="HH42" s="45">
        <v>0</v>
      </c>
      <c r="HI42" s="45">
        <v>1</v>
      </c>
      <c r="HJ42" s="45">
        <v>0</v>
      </c>
      <c r="HK42" s="45">
        <v>0</v>
      </c>
      <c r="HL42" s="45">
        <v>1</v>
      </c>
      <c r="HM42" s="45">
        <v>0</v>
      </c>
      <c r="HN42" s="45">
        <v>0</v>
      </c>
      <c r="HO42" s="45">
        <v>1</v>
      </c>
      <c r="HP42" s="45">
        <v>0</v>
      </c>
      <c r="HQ42" s="45">
        <v>0</v>
      </c>
      <c r="HR42" s="45">
        <v>0</v>
      </c>
      <c r="HS42" s="45">
        <v>0</v>
      </c>
      <c r="HT42" s="45">
        <v>1</v>
      </c>
      <c r="HU42" s="45">
        <v>1</v>
      </c>
      <c r="HV42" s="45">
        <v>0</v>
      </c>
      <c r="HW42" s="45">
        <v>1</v>
      </c>
      <c r="HX42" s="45">
        <v>1</v>
      </c>
      <c r="HY42" s="44">
        <v>43775</v>
      </c>
      <c r="HZ42" s="45" t="s">
        <v>231</v>
      </c>
      <c r="IA42" s="45">
        <v>0</v>
      </c>
      <c r="IB42" s="45">
        <v>0</v>
      </c>
      <c r="IC42" s="45">
        <v>1</v>
      </c>
      <c r="ID42" s="45">
        <v>0</v>
      </c>
      <c r="IE42" s="45">
        <v>1</v>
      </c>
      <c r="IF42" s="45">
        <v>0</v>
      </c>
      <c r="IG42" s="45">
        <v>0</v>
      </c>
      <c r="IH42" s="45">
        <v>0</v>
      </c>
      <c r="II42" s="45">
        <v>0</v>
      </c>
      <c r="IJ42" s="45">
        <v>0</v>
      </c>
      <c r="IK42" s="45">
        <v>0</v>
      </c>
      <c r="IL42" s="45">
        <v>0</v>
      </c>
      <c r="IM42" s="45">
        <v>0</v>
      </c>
      <c r="IN42" s="45">
        <v>0</v>
      </c>
      <c r="IO42" s="45">
        <v>0</v>
      </c>
      <c r="IP42" s="45">
        <v>0</v>
      </c>
      <c r="IQ42" s="45">
        <v>0</v>
      </c>
      <c r="IR42" s="45">
        <v>1</v>
      </c>
      <c r="IS42" s="45">
        <v>0</v>
      </c>
      <c r="IT42" s="45">
        <v>0</v>
      </c>
      <c r="IU42" s="45">
        <v>1</v>
      </c>
      <c r="IV42" s="45">
        <v>0</v>
      </c>
      <c r="IW42" s="45">
        <v>1</v>
      </c>
      <c r="IX42" s="45">
        <v>1</v>
      </c>
      <c r="IY42" s="45">
        <v>0</v>
      </c>
      <c r="IZ42" s="45">
        <v>1</v>
      </c>
      <c r="JA42" s="45">
        <v>1</v>
      </c>
      <c r="JB42" s="45">
        <v>1</v>
      </c>
      <c r="JC42" s="45">
        <v>1</v>
      </c>
      <c r="JD42" s="45">
        <v>0</v>
      </c>
      <c r="JE42" s="45">
        <v>0</v>
      </c>
      <c r="JF42" s="45">
        <v>0</v>
      </c>
      <c r="JG42" s="15">
        <v>0</v>
      </c>
      <c r="JH42" s="15">
        <v>0</v>
      </c>
      <c r="JI42" s="45">
        <v>0</v>
      </c>
      <c r="JJ42" s="45">
        <v>1</v>
      </c>
      <c r="JK42" s="45">
        <v>0</v>
      </c>
      <c r="JL42" s="45">
        <v>0</v>
      </c>
      <c r="JM42" s="15">
        <v>0</v>
      </c>
      <c r="JN42" s="15">
        <v>0</v>
      </c>
      <c r="JO42" s="45">
        <v>0</v>
      </c>
      <c r="JP42" s="45">
        <v>0</v>
      </c>
      <c r="JQ42" s="45">
        <v>1</v>
      </c>
      <c r="JR42" s="45">
        <v>0</v>
      </c>
      <c r="JS42" s="45">
        <v>0</v>
      </c>
      <c r="JT42" s="45">
        <v>1</v>
      </c>
      <c r="JU42" s="45"/>
      <c r="JV42" s="45">
        <v>0</v>
      </c>
      <c r="JW42" s="45">
        <v>1</v>
      </c>
      <c r="JX42" s="45">
        <v>0</v>
      </c>
      <c r="JY42" s="45">
        <v>0</v>
      </c>
      <c r="JZ42" s="45">
        <v>0</v>
      </c>
      <c r="KA42" s="45">
        <v>0</v>
      </c>
      <c r="KB42" s="45">
        <v>1</v>
      </c>
      <c r="KC42" s="45">
        <v>1</v>
      </c>
      <c r="KD42" s="45">
        <v>0</v>
      </c>
      <c r="KE42" s="45">
        <v>1</v>
      </c>
      <c r="KF42" s="45">
        <v>1</v>
      </c>
      <c r="KG42"/>
      <c r="KH42"/>
      <c r="KI42">
        <v>1</v>
      </c>
      <c r="KJ42">
        <v>1</v>
      </c>
      <c r="KK42">
        <v>1</v>
      </c>
      <c r="KL42">
        <v>0</v>
      </c>
      <c r="KM42">
        <v>1</v>
      </c>
      <c r="KN42">
        <v>0</v>
      </c>
      <c r="KO42">
        <v>0</v>
      </c>
      <c r="KP42">
        <v>0</v>
      </c>
      <c r="KQ42">
        <v>0</v>
      </c>
      <c r="KR42">
        <v>1</v>
      </c>
      <c r="KS42">
        <v>0</v>
      </c>
      <c r="KT42">
        <v>0</v>
      </c>
      <c r="KU42">
        <v>1</v>
      </c>
      <c r="KV42">
        <v>1</v>
      </c>
      <c r="KW42">
        <v>1</v>
      </c>
      <c r="KX42">
        <v>1</v>
      </c>
      <c r="KY42">
        <v>0</v>
      </c>
      <c r="KZ42">
        <v>1</v>
      </c>
      <c r="LA42">
        <v>1</v>
      </c>
      <c r="LB42">
        <v>0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1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1</v>
      </c>
      <c r="LZ42">
        <v>0</v>
      </c>
      <c r="MA42">
        <v>0</v>
      </c>
      <c r="MB42">
        <v>1</v>
      </c>
      <c r="MC42">
        <v>0</v>
      </c>
      <c r="MD42">
        <v>0</v>
      </c>
      <c r="ME42">
        <v>1</v>
      </c>
      <c r="MF42">
        <v>0</v>
      </c>
      <c r="MG42">
        <v>0</v>
      </c>
      <c r="MH42">
        <v>0</v>
      </c>
      <c r="MI42">
        <v>0</v>
      </c>
      <c r="MJ42">
        <v>1</v>
      </c>
      <c r="MK42">
        <v>1</v>
      </c>
      <c r="ML42">
        <v>0</v>
      </c>
      <c r="MM42">
        <v>1</v>
      </c>
      <c r="MN42">
        <v>1</v>
      </c>
      <c r="MO42">
        <v>0</v>
      </c>
      <c r="MP42">
        <v>0</v>
      </c>
      <c r="MQ42">
        <f t="shared" si="10"/>
        <v>0</v>
      </c>
      <c r="MR42">
        <f t="shared" si="11"/>
        <v>0</v>
      </c>
    </row>
    <row r="43" spans="1:358" ht="18" x14ac:dyDescent="0.25">
      <c r="A43" t="s">
        <v>435</v>
      </c>
      <c r="B43" s="3">
        <v>89</v>
      </c>
      <c r="C43" s="3">
        <v>0</v>
      </c>
      <c r="D43" s="3">
        <v>1</v>
      </c>
      <c r="E43" s="27">
        <v>44936</v>
      </c>
      <c r="F43" s="61">
        <v>18</v>
      </c>
      <c r="G43" s="61"/>
      <c r="H43" s="58">
        <v>1</v>
      </c>
      <c r="I43" s="57">
        <v>1</v>
      </c>
      <c r="J43" s="58">
        <v>1</v>
      </c>
      <c r="K43" s="1">
        <v>44938</v>
      </c>
      <c r="L43" s="66">
        <v>1</v>
      </c>
      <c r="M43" s="1">
        <v>45021</v>
      </c>
      <c r="N43" s="3">
        <v>0</v>
      </c>
      <c r="O43" s="2">
        <v>45084</v>
      </c>
      <c r="P43" s="64">
        <f t="shared" si="0"/>
        <v>166</v>
      </c>
      <c r="Q43">
        <v>1</v>
      </c>
      <c r="R43">
        <v>1</v>
      </c>
      <c r="S43">
        <v>1</v>
      </c>
      <c r="T43">
        <v>75</v>
      </c>
      <c r="U43">
        <v>0</v>
      </c>
      <c r="V43">
        <v>1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70</v>
      </c>
      <c r="AO43">
        <v>174</v>
      </c>
      <c r="AP43">
        <v>23</v>
      </c>
      <c r="AQ43">
        <v>36.6</v>
      </c>
      <c r="AR43">
        <v>124</v>
      </c>
      <c r="AS43">
        <v>84</v>
      </c>
      <c r="AT43">
        <v>1</v>
      </c>
      <c r="AU43">
        <v>0</v>
      </c>
      <c r="AV43">
        <v>63</v>
      </c>
      <c r="AW43" s="1">
        <v>44918</v>
      </c>
      <c r="AX43" s="1">
        <v>44918</v>
      </c>
      <c r="AY43">
        <v>0</v>
      </c>
      <c r="AZ43" s="1">
        <v>44909</v>
      </c>
      <c r="BA43">
        <v>1</v>
      </c>
      <c r="BB43">
        <v>0</v>
      </c>
      <c r="BC43">
        <v>0</v>
      </c>
      <c r="BD43">
        <v>1</v>
      </c>
      <c r="BE43">
        <v>1</v>
      </c>
      <c r="BF43">
        <v>1</v>
      </c>
      <c r="BG43">
        <v>0</v>
      </c>
      <c r="BH43">
        <v>0</v>
      </c>
      <c r="BI43">
        <v>1</v>
      </c>
      <c r="BJ43">
        <v>0</v>
      </c>
      <c r="BK43">
        <v>0</v>
      </c>
      <c r="BL43">
        <v>0</v>
      </c>
      <c r="BM43" s="66">
        <v>0</v>
      </c>
      <c r="BN43">
        <v>0</v>
      </c>
      <c r="BO43">
        <v>0</v>
      </c>
      <c r="BP43" s="66">
        <f t="shared" si="17"/>
        <v>0</v>
      </c>
      <c r="BQ43">
        <v>0</v>
      </c>
      <c r="BR43">
        <v>0</v>
      </c>
      <c r="BS43">
        <v>3</v>
      </c>
      <c r="BT43">
        <v>0</v>
      </c>
      <c r="BU43" s="66">
        <f t="shared" si="18"/>
        <v>0</v>
      </c>
      <c r="BV43">
        <v>0</v>
      </c>
      <c r="BW43">
        <v>0</v>
      </c>
      <c r="BX43" s="66">
        <f t="shared" si="3"/>
        <v>3</v>
      </c>
      <c r="BY43" s="39">
        <v>1</v>
      </c>
      <c r="BZ43">
        <v>1</v>
      </c>
      <c r="CA43">
        <v>0</v>
      </c>
      <c r="CB43">
        <v>1</v>
      </c>
      <c r="CC43">
        <v>4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f t="shared" si="7"/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1</v>
      </c>
      <c r="CV43">
        <v>0</v>
      </c>
      <c r="CW43">
        <v>1</v>
      </c>
      <c r="CX43">
        <v>1</v>
      </c>
      <c r="CY43">
        <v>0</v>
      </c>
      <c r="DA43" s="1">
        <v>44916</v>
      </c>
      <c r="DB43" s="66">
        <f t="shared" si="5"/>
        <v>7</v>
      </c>
      <c r="DC43" t="s">
        <v>7</v>
      </c>
      <c r="DD43">
        <v>0</v>
      </c>
      <c r="DE43" s="1">
        <v>44918</v>
      </c>
      <c r="DF43">
        <v>3</v>
      </c>
      <c r="DG43" s="1">
        <v>44916</v>
      </c>
      <c r="DH43">
        <v>16</v>
      </c>
      <c r="DI43">
        <v>18.8</v>
      </c>
      <c r="DJ43">
        <v>1</v>
      </c>
      <c r="DK43" s="66">
        <v>237</v>
      </c>
      <c r="DM43">
        <v>73</v>
      </c>
      <c r="DO43">
        <v>2</v>
      </c>
      <c r="DP43">
        <v>237</v>
      </c>
      <c r="DR43">
        <v>98</v>
      </c>
      <c r="DS43">
        <v>4.4000000000000004</v>
      </c>
      <c r="DU43">
        <v>28</v>
      </c>
      <c r="DV43">
        <v>18</v>
      </c>
      <c r="DW43" s="1">
        <v>44918</v>
      </c>
      <c r="DX43">
        <v>22</v>
      </c>
      <c r="DY43">
        <v>17</v>
      </c>
      <c r="DZ43">
        <v>1</v>
      </c>
      <c r="EA43">
        <v>22</v>
      </c>
      <c r="EB43">
        <v>1</v>
      </c>
      <c r="EC43">
        <v>1.7</v>
      </c>
      <c r="ED43">
        <v>1.27</v>
      </c>
      <c r="EE43">
        <v>0</v>
      </c>
      <c r="EF43">
        <v>2.2400000000000002</v>
      </c>
      <c r="EG43">
        <v>1</v>
      </c>
      <c r="EH43">
        <v>204</v>
      </c>
      <c r="EI43" s="62">
        <v>1.0882352941176501</v>
      </c>
      <c r="EJ43">
        <v>222</v>
      </c>
      <c r="EK43" s="39">
        <v>1</v>
      </c>
      <c r="EL43">
        <f t="shared" si="6"/>
        <v>18</v>
      </c>
      <c r="EM43">
        <v>222</v>
      </c>
      <c r="EN43" s="39">
        <v>1</v>
      </c>
      <c r="EO43">
        <v>0.14000000000000001</v>
      </c>
      <c r="ER43">
        <v>28</v>
      </c>
      <c r="ES43">
        <v>26</v>
      </c>
      <c r="ET43">
        <v>26</v>
      </c>
      <c r="EU43">
        <v>15</v>
      </c>
      <c r="EV43">
        <v>148</v>
      </c>
      <c r="EW43">
        <v>117</v>
      </c>
      <c r="EX43">
        <v>20</v>
      </c>
      <c r="EY43">
        <v>28</v>
      </c>
      <c r="EZ43">
        <v>117</v>
      </c>
      <c r="FB43">
        <v>0</v>
      </c>
      <c r="FC43">
        <v>1</v>
      </c>
      <c r="FD43">
        <v>0</v>
      </c>
      <c r="FF43">
        <v>1</v>
      </c>
      <c r="FG43">
        <v>1</v>
      </c>
      <c r="FH43" s="1">
        <v>44937</v>
      </c>
      <c r="FI43">
        <v>1</v>
      </c>
      <c r="FJ43" s="1" t="e">
        <f>#REF!</f>
        <v>#REF!</v>
      </c>
      <c r="FK43">
        <v>0</v>
      </c>
      <c r="FL43">
        <v>0</v>
      </c>
      <c r="FO43">
        <v>0</v>
      </c>
      <c r="FP43" t="s">
        <v>109</v>
      </c>
      <c r="FQ43" s="22">
        <v>44916</v>
      </c>
      <c r="FR43" s="15" t="s">
        <v>230</v>
      </c>
      <c r="FS43" s="15">
        <v>1</v>
      </c>
      <c r="FT43" s="15">
        <v>0</v>
      </c>
      <c r="FU43" s="15">
        <v>1</v>
      </c>
      <c r="FV43" s="15">
        <v>0</v>
      </c>
      <c r="FW43" s="15">
        <v>1</v>
      </c>
      <c r="FX43" s="15">
        <v>0</v>
      </c>
      <c r="FY43" s="15">
        <v>0</v>
      </c>
      <c r="FZ43" s="15">
        <v>0</v>
      </c>
      <c r="GA43" s="15">
        <v>0</v>
      </c>
      <c r="GB43" s="15">
        <v>1</v>
      </c>
      <c r="GC43" s="15">
        <v>0</v>
      </c>
      <c r="GD43" s="15">
        <v>1</v>
      </c>
      <c r="GE43" s="15">
        <v>1</v>
      </c>
      <c r="GF43" s="15">
        <v>1</v>
      </c>
      <c r="GG43" s="15">
        <v>0</v>
      </c>
      <c r="GH43" s="15">
        <v>0</v>
      </c>
      <c r="GI43" s="15">
        <v>0</v>
      </c>
      <c r="GJ43" s="15">
        <v>1</v>
      </c>
      <c r="GK43" s="15">
        <v>0</v>
      </c>
      <c r="GL43" s="15">
        <v>0</v>
      </c>
      <c r="GM43" s="15">
        <v>1</v>
      </c>
      <c r="GN43" s="15">
        <v>0</v>
      </c>
      <c r="GO43" s="15">
        <v>1</v>
      </c>
      <c r="GP43" s="15">
        <v>1</v>
      </c>
      <c r="GQ43" s="15">
        <v>0</v>
      </c>
      <c r="GR43" s="15">
        <v>1</v>
      </c>
      <c r="GS43" s="15">
        <v>1</v>
      </c>
      <c r="GT43" s="15">
        <v>0</v>
      </c>
      <c r="GU43" s="15">
        <v>0</v>
      </c>
      <c r="GV43" s="15">
        <v>1</v>
      </c>
      <c r="GW43" s="15">
        <v>1</v>
      </c>
      <c r="GX43" s="15" t="s">
        <v>232</v>
      </c>
      <c r="GY43" s="15">
        <v>0</v>
      </c>
      <c r="GZ43" s="15">
        <v>0</v>
      </c>
      <c r="HA43" s="15">
        <v>0</v>
      </c>
      <c r="HB43" s="15">
        <v>0</v>
      </c>
      <c r="HC43" s="15">
        <v>1</v>
      </c>
      <c r="HD43" s="15" t="s">
        <v>232</v>
      </c>
      <c r="HE43" s="15">
        <v>0</v>
      </c>
      <c r="HF43" s="15">
        <v>0</v>
      </c>
      <c r="HG43" s="15">
        <v>0</v>
      </c>
      <c r="HH43" s="15">
        <v>1</v>
      </c>
      <c r="HI43" s="15">
        <v>1</v>
      </c>
      <c r="HJ43" s="15">
        <v>1</v>
      </c>
      <c r="HK43" s="15">
        <v>0</v>
      </c>
      <c r="HL43" s="15">
        <v>1</v>
      </c>
      <c r="HM43" s="15">
        <v>0</v>
      </c>
      <c r="HN43" s="15">
        <v>0</v>
      </c>
      <c r="HO43" s="15">
        <v>1</v>
      </c>
      <c r="HP43" s="15">
        <v>0</v>
      </c>
      <c r="HQ43" s="15">
        <v>0</v>
      </c>
      <c r="HR43" s="15">
        <v>0</v>
      </c>
      <c r="HS43" s="15">
        <v>0</v>
      </c>
      <c r="HT43" s="15">
        <v>1</v>
      </c>
      <c r="HU43" s="15">
        <v>1</v>
      </c>
      <c r="HV43" s="15">
        <v>0</v>
      </c>
      <c r="HW43" s="15">
        <v>0</v>
      </c>
      <c r="HX43" s="15">
        <v>1</v>
      </c>
      <c r="HY43" s="22">
        <v>44935</v>
      </c>
      <c r="HZ43" s="15" t="s">
        <v>231</v>
      </c>
      <c r="IA43" s="15">
        <v>1</v>
      </c>
      <c r="IB43" s="15">
        <v>0</v>
      </c>
      <c r="IC43" s="15">
        <v>1</v>
      </c>
      <c r="ID43" s="15">
        <v>0</v>
      </c>
      <c r="IE43" s="15">
        <v>1</v>
      </c>
      <c r="IF43" s="15">
        <v>0</v>
      </c>
      <c r="IG43" s="15">
        <v>0</v>
      </c>
      <c r="IH43" s="15">
        <v>0</v>
      </c>
      <c r="II43" s="15">
        <v>0</v>
      </c>
      <c r="IJ43" s="15">
        <v>0</v>
      </c>
      <c r="IK43" s="15">
        <v>0</v>
      </c>
      <c r="IL43" s="15">
        <v>1</v>
      </c>
      <c r="IM43" s="15">
        <v>0</v>
      </c>
      <c r="IN43" s="15">
        <v>0</v>
      </c>
      <c r="IO43" s="15">
        <v>0</v>
      </c>
      <c r="IP43" s="15">
        <v>0</v>
      </c>
      <c r="IQ43" s="15">
        <v>0</v>
      </c>
      <c r="IR43" s="15">
        <v>0</v>
      </c>
      <c r="IS43" s="15">
        <v>0</v>
      </c>
      <c r="IT43" s="15">
        <v>0</v>
      </c>
      <c r="IU43" s="15">
        <v>1</v>
      </c>
      <c r="IV43" s="15">
        <v>0</v>
      </c>
      <c r="IW43" s="15">
        <v>1</v>
      </c>
      <c r="IX43" s="15">
        <v>1</v>
      </c>
      <c r="IY43" s="15">
        <v>0</v>
      </c>
      <c r="IZ43" s="15">
        <v>1</v>
      </c>
      <c r="JA43" s="15">
        <v>1</v>
      </c>
      <c r="JB43" s="15">
        <v>1</v>
      </c>
      <c r="JC43" s="15">
        <v>0</v>
      </c>
      <c r="JD43" s="15">
        <v>1</v>
      </c>
      <c r="JE43" s="15">
        <v>1</v>
      </c>
      <c r="JF43" s="15" t="s">
        <v>232</v>
      </c>
      <c r="JG43" s="15">
        <v>0</v>
      </c>
      <c r="JH43" s="15">
        <v>0</v>
      </c>
      <c r="JI43" s="15">
        <v>0</v>
      </c>
      <c r="JJ43" s="15">
        <v>0</v>
      </c>
      <c r="JK43" s="15">
        <v>1</v>
      </c>
      <c r="JL43" s="24" t="s">
        <v>232</v>
      </c>
      <c r="JM43" s="15">
        <v>0</v>
      </c>
      <c r="JN43" s="15">
        <v>0</v>
      </c>
      <c r="JO43" s="15">
        <v>0</v>
      </c>
      <c r="JP43" s="15">
        <v>1</v>
      </c>
      <c r="JQ43" s="15">
        <v>0</v>
      </c>
      <c r="JR43" s="45">
        <v>1</v>
      </c>
      <c r="JS43" s="45">
        <v>1</v>
      </c>
      <c r="JT43" s="15">
        <v>0</v>
      </c>
      <c r="JU43" s="15"/>
      <c r="JV43" s="15">
        <v>0</v>
      </c>
      <c r="JW43" s="15">
        <v>1</v>
      </c>
      <c r="JX43" s="15">
        <v>0</v>
      </c>
      <c r="JY43" s="15">
        <v>0</v>
      </c>
      <c r="JZ43" s="15">
        <v>1</v>
      </c>
      <c r="KA43" s="15">
        <v>1</v>
      </c>
      <c r="KB43" s="15">
        <v>1</v>
      </c>
      <c r="KC43" s="15">
        <v>1</v>
      </c>
      <c r="KD43" s="15">
        <v>0</v>
      </c>
      <c r="KE43" s="15">
        <v>0</v>
      </c>
      <c r="KF43" s="15">
        <v>1</v>
      </c>
      <c r="KI43">
        <v>1</v>
      </c>
      <c r="KJ43">
        <v>0</v>
      </c>
      <c r="KK43">
        <v>1</v>
      </c>
      <c r="KL43">
        <v>0</v>
      </c>
      <c r="KM43">
        <v>1</v>
      </c>
      <c r="KN43">
        <v>0</v>
      </c>
      <c r="KO43">
        <v>0</v>
      </c>
      <c r="KP43">
        <v>0</v>
      </c>
      <c r="KQ43">
        <v>0</v>
      </c>
      <c r="KR43">
        <v>1</v>
      </c>
      <c r="KS43">
        <v>0</v>
      </c>
      <c r="KT43">
        <v>1</v>
      </c>
      <c r="KU43">
        <v>1</v>
      </c>
      <c r="KV43">
        <v>1</v>
      </c>
      <c r="KW43">
        <v>0</v>
      </c>
      <c r="KX43">
        <v>0</v>
      </c>
      <c r="KY43">
        <v>0</v>
      </c>
      <c r="KZ43">
        <v>1</v>
      </c>
      <c r="LA43">
        <v>0</v>
      </c>
      <c r="LB43">
        <v>0</v>
      </c>
      <c r="LC43">
        <v>1</v>
      </c>
      <c r="LD43">
        <v>0</v>
      </c>
      <c r="LE43">
        <v>1</v>
      </c>
      <c r="LF43">
        <v>1</v>
      </c>
      <c r="LG43">
        <v>0</v>
      </c>
      <c r="LH43">
        <v>1</v>
      </c>
      <c r="LI43">
        <v>1</v>
      </c>
      <c r="LJ43">
        <v>1</v>
      </c>
      <c r="LK43">
        <v>0</v>
      </c>
      <c r="LL43">
        <v>1</v>
      </c>
      <c r="LM43">
        <v>1</v>
      </c>
      <c r="LO43">
        <v>0</v>
      </c>
      <c r="LP43">
        <v>0</v>
      </c>
      <c r="LQ43">
        <v>0</v>
      </c>
      <c r="LR43">
        <v>0</v>
      </c>
      <c r="LS43">
        <v>1</v>
      </c>
      <c r="LU43">
        <v>0</v>
      </c>
      <c r="LV43">
        <v>0</v>
      </c>
      <c r="LW43">
        <v>0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0</v>
      </c>
      <c r="MD43">
        <v>0</v>
      </c>
      <c r="ME43">
        <v>1</v>
      </c>
      <c r="MF43">
        <v>0</v>
      </c>
      <c r="MG43">
        <v>0</v>
      </c>
      <c r="MH43">
        <v>1</v>
      </c>
      <c r="MI43">
        <v>1</v>
      </c>
      <c r="MJ43">
        <v>1</v>
      </c>
      <c r="MK43">
        <v>1</v>
      </c>
      <c r="ML43">
        <v>0</v>
      </c>
      <c r="MM43">
        <v>0</v>
      </c>
      <c r="MN43">
        <v>1</v>
      </c>
      <c r="MO43">
        <v>1</v>
      </c>
      <c r="MP43">
        <v>0</v>
      </c>
      <c r="MQ43">
        <v>1</v>
      </c>
      <c r="MR43">
        <v>1</v>
      </c>
      <c r="MS43">
        <v>1</v>
      </c>
      <c r="MT43">
        <v>1</v>
      </c>
    </row>
    <row r="44" spans="1:358" ht="18" x14ac:dyDescent="0.25">
      <c r="A44" t="s">
        <v>436</v>
      </c>
      <c r="B44" s="3">
        <v>72</v>
      </c>
      <c r="C44" s="3">
        <v>0</v>
      </c>
      <c r="D44" s="3">
        <v>0</v>
      </c>
      <c r="E44" s="3"/>
      <c r="F44" s="55">
        <v>234</v>
      </c>
      <c r="G44" s="55"/>
      <c r="H44" s="57">
        <v>0</v>
      </c>
      <c r="I44" s="57">
        <v>0</v>
      </c>
      <c r="J44" s="57"/>
      <c r="K44" s="3"/>
      <c r="L44" s="3"/>
      <c r="M44" s="3"/>
      <c r="N44" s="3">
        <v>0</v>
      </c>
      <c r="O44" s="2">
        <v>45012</v>
      </c>
      <c r="P44" s="64">
        <f t="shared" si="0"/>
        <v>234</v>
      </c>
      <c r="Q44">
        <v>1</v>
      </c>
      <c r="R44">
        <v>0</v>
      </c>
      <c r="S44">
        <v>1</v>
      </c>
      <c r="T44">
        <v>92</v>
      </c>
      <c r="U44">
        <v>0</v>
      </c>
      <c r="V44">
        <v>1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65</v>
      </c>
      <c r="AO44">
        <v>170</v>
      </c>
      <c r="AP44">
        <v>22.5</v>
      </c>
      <c r="AQ44">
        <v>37.4</v>
      </c>
      <c r="AR44">
        <v>134</v>
      </c>
      <c r="AS44">
        <v>81</v>
      </c>
      <c r="AV44">
        <v>100</v>
      </c>
      <c r="AW44" s="1">
        <v>44778</v>
      </c>
      <c r="AX44" s="1">
        <v>44778</v>
      </c>
      <c r="AY44">
        <v>0</v>
      </c>
      <c r="AZ44" s="1">
        <v>44778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 s="66">
        <v>0</v>
      </c>
      <c r="BN44">
        <v>0</v>
      </c>
      <c r="BO44">
        <v>0</v>
      </c>
      <c r="BP44" s="66">
        <f t="shared" si="17"/>
        <v>0</v>
      </c>
      <c r="BQ44">
        <v>0</v>
      </c>
      <c r="BR44">
        <v>0</v>
      </c>
      <c r="BS44">
        <v>0</v>
      </c>
      <c r="BT44">
        <v>0</v>
      </c>
      <c r="BU44" s="66">
        <f t="shared" si="18"/>
        <v>0</v>
      </c>
      <c r="BV44">
        <v>0</v>
      </c>
      <c r="BW44">
        <v>0</v>
      </c>
      <c r="BX44" s="66">
        <f t="shared" si="3"/>
        <v>0</v>
      </c>
      <c r="BY44">
        <v>0</v>
      </c>
      <c r="BZ44">
        <f t="shared" si="4"/>
        <v>0</v>
      </c>
      <c r="CA44">
        <v>0</v>
      </c>
      <c r="CB44">
        <v>0</v>
      </c>
      <c r="CC44">
        <v>2</v>
      </c>
      <c r="CD44">
        <v>0</v>
      </c>
      <c r="CE44">
        <v>1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DA44" s="1">
        <v>44784</v>
      </c>
      <c r="DB44" s="66">
        <f t="shared" si="5"/>
        <v>6</v>
      </c>
      <c r="DC44" t="s">
        <v>1</v>
      </c>
      <c r="DD44">
        <v>0</v>
      </c>
      <c r="DE44" s="1">
        <v>44813</v>
      </c>
      <c r="DF44">
        <v>30</v>
      </c>
      <c r="DG44" s="1">
        <v>44785</v>
      </c>
      <c r="DH44">
        <v>12</v>
      </c>
      <c r="DI44">
        <v>12.6</v>
      </c>
      <c r="DJ44">
        <v>2</v>
      </c>
      <c r="DK44" s="66">
        <v>313</v>
      </c>
      <c r="DL44">
        <v>5</v>
      </c>
      <c r="DM44">
        <v>70</v>
      </c>
      <c r="DO44">
        <v>8</v>
      </c>
      <c r="DP44">
        <v>313</v>
      </c>
      <c r="DR44">
        <v>74</v>
      </c>
      <c r="DS44">
        <v>9.4</v>
      </c>
      <c r="DV44">
        <v>13</v>
      </c>
      <c r="DW44" s="1">
        <v>44778</v>
      </c>
      <c r="DX44">
        <v>31</v>
      </c>
      <c r="DY44">
        <v>16</v>
      </c>
      <c r="DZ44">
        <v>1</v>
      </c>
      <c r="EA44">
        <v>31</v>
      </c>
      <c r="EB44">
        <v>1</v>
      </c>
      <c r="EC44">
        <v>1.7</v>
      </c>
      <c r="ED44">
        <v>1.23</v>
      </c>
      <c r="EE44">
        <v>0</v>
      </c>
      <c r="EF44">
        <v>1.7</v>
      </c>
      <c r="EG44">
        <v>0</v>
      </c>
      <c r="EH44">
        <v>79</v>
      </c>
      <c r="EI44" s="62">
        <v>0.278481012658228</v>
      </c>
      <c r="EJ44">
        <v>22</v>
      </c>
      <c r="EK44">
        <v>0</v>
      </c>
      <c r="EL44">
        <f t="shared" si="6"/>
        <v>-57</v>
      </c>
      <c r="EM44">
        <v>79</v>
      </c>
      <c r="EN44">
        <v>0</v>
      </c>
      <c r="ER44">
        <v>24</v>
      </c>
      <c r="ET44">
        <v>26</v>
      </c>
      <c r="EU44">
        <v>25</v>
      </c>
      <c r="EV44">
        <v>213</v>
      </c>
      <c r="EW44">
        <v>112</v>
      </c>
      <c r="EX44">
        <v>12</v>
      </c>
      <c r="EY44">
        <v>6</v>
      </c>
      <c r="FA44">
        <v>7.47</v>
      </c>
      <c r="FC44">
        <v>1</v>
      </c>
      <c r="FD44">
        <v>0</v>
      </c>
      <c r="FF44">
        <v>1</v>
      </c>
      <c r="FG44">
        <v>1</v>
      </c>
      <c r="FH44" s="1">
        <v>44822</v>
      </c>
      <c r="FI44" s="1"/>
      <c r="FJ44" s="1"/>
      <c r="FK44">
        <v>0</v>
      </c>
      <c r="FL44">
        <v>0</v>
      </c>
      <c r="FO44">
        <v>0</v>
      </c>
      <c r="FP44" t="s">
        <v>288</v>
      </c>
      <c r="FQ44" s="22">
        <v>44778</v>
      </c>
      <c r="FR44" s="22" t="s">
        <v>230</v>
      </c>
      <c r="FS44" s="15">
        <v>1</v>
      </c>
      <c r="FT44" s="15">
        <v>0</v>
      </c>
      <c r="FU44" s="15">
        <v>1</v>
      </c>
      <c r="FV44" s="15">
        <v>0</v>
      </c>
      <c r="FW44" s="15">
        <v>1</v>
      </c>
      <c r="FX44" s="15">
        <v>0</v>
      </c>
      <c r="FY44" s="15">
        <v>0</v>
      </c>
      <c r="FZ44" s="15">
        <v>0</v>
      </c>
      <c r="GA44" s="15">
        <v>0</v>
      </c>
      <c r="GB44" s="15">
        <v>1</v>
      </c>
      <c r="GC44" s="15">
        <v>0</v>
      </c>
      <c r="GD44" s="15">
        <v>1</v>
      </c>
      <c r="GE44" s="15">
        <v>0</v>
      </c>
      <c r="GF44" s="15">
        <v>0</v>
      </c>
      <c r="GG44" s="15">
        <v>0</v>
      </c>
      <c r="GH44" s="15">
        <v>0</v>
      </c>
      <c r="GI44" s="15">
        <v>1</v>
      </c>
      <c r="GJ44" s="15">
        <v>0</v>
      </c>
      <c r="GK44" s="15">
        <v>0</v>
      </c>
      <c r="GL44" s="15">
        <v>0</v>
      </c>
      <c r="GM44" s="15">
        <v>1</v>
      </c>
      <c r="GN44" s="15">
        <v>0</v>
      </c>
      <c r="GO44" s="15">
        <v>1</v>
      </c>
      <c r="GP44" s="15">
        <v>1</v>
      </c>
      <c r="GQ44" s="15">
        <v>0</v>
      </c>
      <c r="GR44" s="15">
        <v>1</v>
      </c>
      <c r="GS44" s="15">
        <v>1</v>
      </c>
      <c r="GT44" s="15">
        <v>1</v>
      </c>
      <c r="GU44" s="15">
        <v>1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1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1</v>
      </c>
      <c r="HI44" s="15">
        <v>1</v>
      </c>
      <c r="HJ44" s="15">
        <v>1</v>
      </c>
      <c r="HK44" s="15">
        <v>0</v>
      </c>
      <c r="HL44" s="15">
        <v>1</v>
      </c>
      <c r="HM44" s="15">
        <v>0</v>
      </c>
      <c r="HN44" s="15">
        <v>1</v>
      </c>
      <c r="HO44" s="15">
        <v>1</v>
      </c>
      <c r="HP44" s="15">
        <v>0</v>
      </c>
      <c r="HQ44" s="15">
        <v>0</v>
      </c>
      <c r="HR44" s="15">
        <v>0</v>
      </c>
      <c r="HS44" s="15">
        <v>0</v>
      </c>
      <c r="HT44" s="15">
        <v>1</v>
      </c>
      <c r="HU44" s="15">
        <v>1</v>
      </c>
      <c r="HV44" s="15">
        <v>0</v>
      </c>
      <c r="HW44" s="15">
        <v>0</v>
      </c>
      <c r="HX44" s="15">
        <v>1</v>
      </c>
      <c r="HY44" s="22">
        <v>44782</v>
      </c>
      <c r="HZ44" s="15" t="s">
        <v>230</v>
      </c>
      <c r="IA44" s="15">
        <v>1</v>
      </c>
      <c r="IB44" s="15">
        <v>1</v>
      </c>
      <c r="IC44" s="15">
        <v>1</v>
      </c>
      <c r="ID44" s="15">
        <v>0</v>
      </c>
      <c r="IE44" s="15">
        <v>1</v>
      </c>
      <c r="IF44" s="15">
        <v>0</v>
      </c>
      <c r="IG44" s="15">
        <v>0</v>
      </c>
      <c r="IH44" s="15">
        <v>0</v>
      </c>
      <c r="II44" s="15">
        <v>0</v>
      </c>
      <c r="IJ44" s="15">
        <v>1</v>
      </c>
      <c r="IK44" s="15">
        <v>0</v>
      </c>
      <c r="IL44" s="15">
        <v>1</v>
      </c>
      <c r="IM44" s="15">
        <v>0</v>
      </c>
      <c r="IN44" s="15">
        <v>0</v>
      </c>
      <c r="IO44" s="15">
        <v>0</v>
      </c>
      <c r="IP44" s="15">
        <v>0</v>
      </c>
      <c r="IQ44" s="15">
        <v>1</v>
      </c>
      <c r="IR44" s="15">
        <v>0</v>
      </c>
      <c r="IS44" s="15">
        <v>0</v>
      </c>
      <c r="IT44" s="15">
        <v>0</v>
      </c>
      <c r="IU44" s="15">
        <v>1</v>
      </c>
      <c r="IV44" s="15">
        <v>0</v>
      </c>
      <c r="IW44" s="15">
        <v>1</v>
      </c>
      <c r="IX44" s="15">
        <v>1</v>
      </c>
      <c r="IY44" s="15">
        <v>0</v>
      </c>
      <c r="IZ44" s="15">
        <v>1</v>
      </c>
      <c r="JA44" s="15">
        <v>1</v>
      </c>
      <c r="JB44" s="15">
        <v>1</v>
      </c>
      <c r="JC44" s="15">
        <v>1</v>
      </c>
      <c r="JD44" s="15">
        <v>0</v>
      </c>
      <c r="JE44" s="15">
        <v>0</v>
      </c>
      <c r="JF44" s="15">
        <v>0</v>
      </c>
      <c r="JG44" s="15">
        <v>0</v>
      </c>
      <c r="JH44" s="15">
        <v>0</v>
      </c>
      <c r="JI44" s="15">
        <v>0</v>
      </c>
      <c r="JJ44" s="15">
        <v>1</v>
      </c>
      <c r="JK44" s="15">
        <v>0</v>
      </c>
      <c r="JL44" s="15">
        <v>0</v>
      </c>
      <c r="JM44" s="15">
        <v>0</v>
      </c>
      <c r="JN44" s="15">
        <v>0</v>
      </c>
      <c r="JO44" s="15">
        <v>0</v>
      </c>
      <c r="JP44" s="15">
        <v>1</v>
      </c>
      <c r="JQ44" s="15">
        <v>1</v>
      </c>
      <c r="JR44" s="15">
        <v>0</v>
      </c>
      <c r="JS44" s="15">
        <v>0</v>
      </c>
      <c r="JT44" s="15">
        <v>1</v>
      </c>
      <c r="JU44" s="15">
        <v>0</v>
      </c>
      <c r="JV44" s="15">
        <v>1</v>
      </c>
      <c r="JW44" s="15">
        <v>1</v>
      </c>
      <c r="JX44" s="15">
        <v>0</v>
      </c>
      <c r="JY44" s="15">
        <v>0</v>
      </c>
      <c r="JZ44" s="15">
        <v>0</v>
      </c>
      <c r="KA44" s="15">
        <v>0</v>
      </c>
      <c r="KB44" s="15">
        <v>1</v>
      </c>
      <c r="KC44" s="15">
        <v>1</v>
      </c>
      <c r="KD44" s="15">
        <v>0</v>
      </c>
      <c r="KE44" s="15">
        <v>0</v>
      </c>
      <c r="KF44" s="15">
        <v>1</v>
      </c>
      <c r="KI44">
        <v>1</v>
      </c>
      <c r="KJ44">
        <v>1</v>
      </c>
      <c r="KK44">
        <v>1</v>
      </c>
      <c r="KL44">
        <v>0</v>
      </c>
      <c r="KM44">
        <v>1</v>
      </c>
      <c r="KN44">
        <v>0</v>
      </c>
      <c r="KO44">
        <v>0</v>
      </c>
      <c r="KP44">
        <v>0</v>
      </c>
      <c r="KQ44">
        <v>0</v>
      </c>
      <c r="KR44">
        <v>1</v>
      </c>
      <c r="KS44">
        <v>0</v>
      </c>
      <c r="KT44">
        <v>1</v>
      </c>
      <c r="KU44">
        <v>0</v>
      </c>
      <c r="KV44">
        <v>0</v>
      </c>
      <c r="KW44">
        <v>0</v>
      </c>
      <c r="KX44">
        <v>0</v>
      </c>
      <c r="KY44">
        <v>1</v>
      </c>
      <c r="KZ44">
        <v>0</v>
      </c>
      <c r="LA44">
        <v>0</v>
      </c>
      <c r="LB44">
        <v>0</v>
      </c>
      <c r="LC44">
        <v>1</v>
      </c>
      <c r="LD44">
        <v>0</v>
      </c>
      <c r="LE44">
        <v>1</v>
      </c>
      <c r="LF44">
        <v>1</v>
      </c>
      <c r="LG44">
        <v>0</v>
      </c>
      <c r="LH44">
        <v>1</v>
      </c>
      <c r="LI44">
        <v>1</v>
      </c>
      <c r="LJ44">
        <v>1</v>
      </c>
      <c r="LK44">
        <v>1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1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1</v>
      </c>
      <c r="LY44">
        <v>1</v>
      </c>
      <c r="LZ44">
        <v>1</v>
      </c>
      <c r="MA44">
        <v>0</v>
      </c>
      <c r="MB44">
        <v>1</v>
      </c>
      <c r="MC44">
        <v>0</v>
      </c>
      <c r="MD44">
        <v>1</v>
      </c>
      <c r="ME44">
        <v>1</v>
      </c>
      <c r="MF44">
        <v>0</v>
      </c>
      <c r="MG44">
        <v>0</v>
      </c>
      <c r="MH44">
        <v>0</v>
      </c>
      <c r="MI44">
        <v>0</v>
      </c>
      <c r="MJ44">
        <v>1</v>
      </c>
      <c r="MK44">
        <v>1</v>
      </c>
      <c r="ML44">
        <v>0</v>
      </c>
      <c r="MM44">
        <v>0</v>
      </c>
      <c r="MN44">
        <v>1</v>
      </c>
      <c r="MO44">
        <v>1</v>
      </c>
      <c r="MP44">
        <v>0</v>
      </c>
      <c r="MQ44">
        <v>1</v>
      </c>
      <c r="MR44">
        <v>1</v>
      </c>
      <c r="MS44">
        <v>0</v>
      </c>
      <c r="MT44">
        <v>1</v>
      </c>
    </row>
    <row r="45" spans="1:358" ht="18" x14ac:dyDescent="0.25">
      <c r="A45" t="s">
        <v>437</v>
      </c>
      <c r="B45" s="3">
        <v>62</v>
      </c>
      <c r="C45" s="3">
        <v>0</v>
      </c>
      <c r="D45" s="3">
        <v>0</v>
      </c>
      <c r="E45" s="3"/>
      <c r="F45" s="55">
        <v>384</v>
      </c>
      <c r="G45" s="55"/>
      <c r="H45" s="57">
        <v>0</v>
      </c>
      <c r="I45" s="57">
        <v>0</v>
      </c>
      <c r="J45" s="57"/>
      <c r="K45" s="3"/>
      <c r="L45" s="3"/>
      <c r="M45" s="3"/>
      <c r="N45" s="3">
        <v>0</v>
      </c>
      <c r="O45" s="2">
        <v>45019</v>
      </c>
      <c r="P45" s="64">
        <f t="shared" si="0"/>
        <v>384</v>
      </c>
      <c r="Q45">
        <v>1</v>
      </c>
      <c r="R45">
        <v>0</v>
      </c>
      <c r="S45">
        <v>0</v>
      </c>
      <c r="T45">
        <v>77</v>
      </c>
      <c r="U45">
        <v>0</v>
      </c>
      <c r="V45">
        <v>1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83</v>
      </c>
      <c r="AO45">
        <v>172</v>
      </c>
      <c r="AP45">
        <v>28.1</v>
      </c>
      <c r="AQ45">
        <v>36.700000000000003</v>
      </c>
      <c r="AR45">
        <v>120</v>
      </c>
      <c r="AS45">
        <v>60</v>
      </c>
      <c r="AW45" s="1">
        <v>44635</v>
      </c>
      <c r="AX45" s="1">
        <v>44635</v>
      </c>
      <c r="AY45">
        <v>0</v>
      </c>
      <c r="AZ45" s="1">
        <v>44632</v>
      </c>
      <c r="BA45">
        <v>1</v>
      </c>
      <c r="BB45">
        <v>0</v>
      </c>
      <c r="BC45">
        <v>0</v>
      </c>
      <c r="BD45">
        <v>1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 s="66">
        <v>0</v>
      </c>
      <c r="BN45">
        <v>0</v>
      </c>
      <c r="BO45">
        <v>0</v>
      </c>
      <c r="BP45" s="66">
        <f t="shared" si="17"/>
        <v>0</v>
      </c>
      <c r="BQ45">
        <v>0</v>
      </c>
      <c r="BR45">
        <v>0</v>
      </c>
      <c r="BS45">
        <v>0</v>
      </c>
      <c r="BT45">
        <v>0</v>
      </c>
      <c r="BU45" s="66">
        <f t="shared" si="18"/>
        <v>0</v>
      </c>
      <c r="BV45">
        <v>0</v>
      </c>
      <c r="BW45">
        <v>0</v>
      </c>
      <c r="BX45" s="66">
        <f t="shared" si="3"/>
        <v>0</v>
      </c>
      <c r="BY45">
        <v>0</v>
      </c>
      <c r="BZ45">
        <f t="shared" si="4"/>
        <v>0</v>
      </c>
      <c r="CA45">
        <v>0</v>
      </c>
      <c r="CB45">
        <v>0</v>
      </c>
      <c r="CC45">
        <v>2</v>
      </c>
      <c r="CD45">
        <v>0</v>
      </c>
      <c r="CE45">
        <v>0</v>
      </c>
      <c r="CF45">
        <v>0</v>
      </c>
      <c r="CG45">
        <v>0</v>
      </c>
      <c r="CH45">
        <v>1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1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1</v>
      </c>
      <c r="CY45">
        <v>0</v>
      </c>
      <c r="DA45" s="1">
        <v>44643</v>
      </c>
      <c r="DB45" s="66">
        <f t="shared" si="5"/>
        <v>11</v>
      </c>
      <c r="DC45" t="s">
        <v>1</v>
      </c>
      <c r="DD45">
        <v>0</v>
      </c>
      <c r="DE45" s="1">
        <v>44645</v>
      </c>
      <c r="DF45">
        <v>3</v>
      </c>
      <c r="DG45" s="1">
        <v>44644</v>
      </c>
      <c r="DH45">
        <v>13</v>
      </c>
      <c r="DI45">
        <v>7</v>
      </c>
      <c r="DJ45">
        <v>2.8</v>
      </c>
      <c r="DK45" s="66">
        <v>524</v>
      </c>
      <c r="DL45">
        <v>5</v>
      </c>
      <c r="DM45">
        <v>88</v>
      </c>
      <c r="DN45">
        <v>1041</v>
      </c>
      <c r="DO45">
        <v>8</v>
      </c>
      <c r="DP45">
        <v>524</v>
      </c>
      <c r="DQ45">
        <v>1041</v>
      </c>
      <c r="DR45">
        <v>77</v>
      </c>
      <c r="DS45">
        <v>4</v>
      </c>
      <c r="DU45">
        <v>90</v>
      </c>
      <c r="DW45" s="1">
        <v>44635</v>
      </c>
      <c r="DX45">
        <v>11</v>
      </c>
      <c r="DY45">
        <v>9</v>
      </c>
      <c r="DZ45">
        <v>0</v>
      </c>
      <c r="EA45">
        <v>11</v>
      </c>
      <c r="EB45">
        <v>0</v>
      </c>
      <c r="EC45">
        <v>1.4</v>
      </c>
      <c r="ED45">
        <f>EF45</f>
        <v>1.4</v>
      </c>
      <c r="EE45">
        <v>0</v>
      </c>
      <c r="EF45">
        <v>1.4</v>
      </c>
      <c r="EG45">
        <v>0</v>
      </c>
      <c r="EH45">
        <v>140</v>
      </c>
      <c r="EI45" s="62">
        <v>0.378571428571429</v>
      </c>
      <c r="EJ45">
        <v>53</v>
      </c>
      <c r="EK45">
        <v>0</v>
      </c>
      <c r="EL45">
        <f t="shared" si="6"/>
        <v>-87</v>
      </c>
      <c r="EM45">
        <v>140</v>
      </c>
      <c r="EN45">
        <v>0</v>
      </c>
      <c r="EO45">
        <v>0</v>
      </c>
      <c r="ER45">
        <v>23</v>
      </c>
      <c r="ES45">
        <v>265</v>
      </c>
      <c r="ET45">
        <v>35</v>
      </c>
      <c r="EU45">
        <v>50</v>
      </c>
      <c r="EV45">
        <v>50</v>
      </c>
      <c r="EW45">
        <v>83</v>
      </c>
      <c r="EX45">
        <v>6</v>
      </c>
      <c r="EY45">
        <v>3</v>
      </c>
      <c r="EZ45">
        <v>69</v>
      </c>
      <c r="FC45">
        <v>0</v>
      </c>
      <c r="FF45">
        <v>1</v>
      </c>
      <c r="FG45">
        <v>0</v>
      </c>
      <c r="FI45"/>
      <c r="FK45">
        <v>0</v>
      </c>
      <c r="FL45">
        <v>0</v>
      </c>
      <c r="FO45">
        <v>0</v>
      </c>
      <c r="FQ45" s="22">
        <v>44635</v>
      </c>
      <c r="FR45" s="22" t="s">
        <v>230</v>
      </c>
      <c r="FS45" s="15">
        <v>1</v>
      </c>
      <c r="FT45" s="15">
        <v>0</v>
      </c>
      <c r="FU45" s="15">
        <v>1</v>
      </c>
      <c r="FV45" s="15">
        <v>0</v>
      </c>
      <c r="FW45" s="15">
        <v>1</v>
      </c>
      <c r="FX45" s="15">
        <v>1</v>
      </c>
      <c r="FY45" s="15">
        <v>1</v>
      </c>
      <c r="FZ45" s="15">
        <v>1</v>
      </c>
      <c r="GA45" s="15">
        <v>1</v>
      </c>
      <c r="GB45" s="15">
        <v>1</v>
      </c>
      <c r="GC45" s="15">
        <v>1</v>
      </c>
      <c r="GD45" s="15">
        <v>1</v>
      </c>
      <c r="GE45" s="15">
        <v>0</v>
      </c>
      <c r="GF45" s="15">
        <v>0</v>
      </c>
      <c r="GG45" s="15">
        <v>0</v>
      </c>
      <c r="GH45" s="15">
        <v>0</v>
      </c>
      <c r="GI45" s="15">
        <v>1</v>
      </c>
      <c r="GJ45" s="15">
        <v>0</v>
      </c>
      <c r="GK45" s="15">
        <v>0</v>
      </c>
      <c r="GL45" s="15">
        <v>1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1</v>
      </c>
      <c r="GV45" s="15">
        <v>1</v>
      </c>
      <c r="GW45" s="15">
        <v>0</v>
      </c>
      <c r="GX45" s="15" t="s">
        <v>233</v>
      </c>
      <c r="GY45" s="15">
        <v>1</v>
      </c>
      <c r="GZ45" s="15">
        <v>0</v>
      </c>
      <c r="HA45" s="15">
        <v>0</v>
      </c>
      <c r="HB45" s="15">
        <v>1</v>
      </c>
      <c r="HC45" s="15">
        <v>1</v>
      </c>
      <c r="HD45" s="15" t="s">
        <v>234</v>
      </c>
      <c r="HE45" s="45">
        <v>1</v>
      </c>
      <c r="HF45" s="45">
        <v>1</v>
      </c>
      <c r="HG45" s="15">
        <v>0</v>
      </c>
      <c r="HH45" s="15">
        <v>0</v>
      </c>
      <c r="HI45" s="15">
        <v>1</v>
      </c>
      <c r="HJ45" s="15">
        <v>1</v>
      </c>
      <c r="HK45" s="15">
        <v>0</v>
      </c>
      <c r="HL45" s="15">
        <v>1</v>
      </c>
      <c r="HM45" s="15">
        <v>0</v>
      </c>
      <c r="HN45" s="15">
        <v>1</v>
      </c>
      <c r="HO45" s="15">
        <v>1</v>
      </c>
      <c r="HP45" s="15">
        <v>0</v>
      </c>
      <c r="HQ45" s="15">
        <v>0</v>
      </c>
      <c r="HR45" s="15">
        <v>0</v>
      </c>
      <c r="HS45" s="15">
        <v>0</v>
      </c>
      <c r="HT45" s="15">
        <v>1</v>
      </c>
      <c r="HU45" s="15">
        <v>1</v>
      </c>
      <c r="HV45" s="15">
        <v>0</v>
      </c>
      <c r="HW45" s="15">
        <v>0</v>
      </c>
      <c r="HX45" s="15">
        <v>0</v>
      </c>
      <c r="HY45" s="22">
        <v>44637</v>
      </c>
      <c r="HZ45" s="15" t="s">
        <v>230</v>
      </c>
      <c r="IA45" s="15">
        <v>0</v>
      </c>
      <c r="IB45" s="15">
        <v>0</v>
      </c>
      <c r="IC45" s="15">
        <v>1</v>
      </c>
      <c r="ID45" s="15">
        <v>0</v>
      </c>
      <c r="IE45" s="15">
        <v>1</v>
      </c>
      <c r="IF45" s="15">
        <v>1</v>
      </c>
      <c r="IG45" s="15">
        <v>1</v>
      </c>
      <c r="IH45" s="15">
        <v>0</v>
      </c>
      <c r="II45" s="15">
        <v>0</v>
      </c>
      <c r="IJ45" s="15">
        <v>1</v>
      </c>
      <c r="IK45" s="15">
        <v>1</v>
      </c>
      <c r="IL45" s="15">
        <v>1</v>
      </c>
      <c r="IM45" s="15">
        <v>0</v>
      </c>
      <c r="IN45" s="15">
        <v>0</v>
      </c>
      <c r="IO45" s="15">
        <v>0</v>
      </c>
      <c r="IP45" s="15">
        <v>0</v>
      </c>
      <c r="IQ45" s="15">
        <v>1</v>
      </c>
      <c r="IR45" s="15">
        <v>0</v>
      </c>
      <c r="IS45" s="15">
        <v>0</v>
      </c>
      <c r="IT45" s="15">
        <v>1</v>
      </c>
      <c r="IU45" s="15">
        <v>0</v>
      </c>
      <c r="IV45" s="15">
        <v>0</v>
      </c>
      <c r="IW45" s="15">
        <v>0</v>
      </c>
      <c r="IX45" s="15">
        <v>0</v>
      </c>
      <c r="IY45" s="15">
        <v>0</v>
      </c>
      <c r="IZ45" s="15">
        <v>0</v>
      </c>
      <c r="JA45" s="15">
        <v>0</v>
      </c>
      <c r="JB45" s="15">
        <v>0</v>
      </c>
      <c r="JC45" s="15">
        <v>1</v>
      </c>
      <c r="JD45" s="15">
        <v>1</v>
      </c>
      <c r="JE45" s="15">
        <v>0</v>
      </c>
      <c r="JF45" s="15" t="s">
        <v>233</v>
      </c>
      <c r="JG45" s="15">
        <v>1</v>
      </c>
      <c r="JH45" s="15">
        <v>0</v>
      </c>
      <c r="JI45" s="15">
        <v>0</v>
      </c>
      <c r="JJ45" s="15">
        <v>1</v>
      </c>
      <c r="JK45" s="15">
        <v>1</v>
      </c>
      <c r="JL45" s="15" t="s">
        <v>234</v>
      </c>
      <c r="JM45" s="45">
        <v>1</v>
      </c>
      <c r="JN45" s="45">
        <v>1</v>
      </c>
      <c r="JO45" s="15">
        <v>0</v>
      </c>
      <c r="JP45" s="15">
        <v>0</v>
      </c>
      <c r="JQ45" s="15">
        <v>1</v>
      </c>
      <c r="JR45" s="15">
        <v>1</v>
      </c>
      <c r="JS45" s="15">
        <v>0</v>
      </c>
      <c r="JT45" s="15">
        <v>1</v>
      </c>
      <c r="JU45" s="15">
        <v>0</v>
      </c>
      <c r="JV45" s="15">
        <v>1</v>
      </c>
      <c r="JW45" s="15">
        <v>1</v>
      </c>
      <c r="JX45" s="15">
        <v>0</v>
      </c>
      <c r="JY45" s="15">
        <v>0</v>
      </c>
      <c r="JZ45" s="15">
        <v>0</v>
      </c>
      <c r="KA45" s="15">
        <v>0</v>
      </c>
      <c r="KB45" s="15">
        <v>1</v>
      </c>
      <c r="KC45" s="15">
        <v>1</v>
      </c>
      <c r="KD45" s="15">
        <v>0</v>
      </c>
      <c r="KE45" s="15">
        <v>0</v>
      </c>
      <c r="KF45" s="15">
        <v>0</v>
      </c>
      <c r="KI45">
        <v>1</v>
      </c>
      <c r="KJ45">
        <v>0</v>
      </c>
      <c r="KK45">
        <v>1</v>
      </c>
      <c r="KL45">
        <v>0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0</v>
      </c>
      <c r="KV45">
        <v>0</v>
      </c>
      <c r="KW45">
        <v>0</v>
      </c>
      <c r="KX45">
        <v>0</v>
      </c>
      <c r="KY45">
        <v>1</v>
      </c>
      <c r="KZ45">
        <v>0</v>
      </c>
      <c r="LA45">
        <v>0</v>
      </c>
      <c r="LB45">
        <v>1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1</v>
      </c>
      <c r="LL45">
        <v>1</v>
      </c>
      <c r="LM45">
        <v>0</v>
      </c>
      <c r="LO45">
        <v>1</v>
      </c>
      <c r="LP45">
        <v>0</v>
      </c>
      <c r="LQ45">
        <v>0</v>
      </c>
      <c r="LR45">
        <v>1</v>
      </c>
      <c r="LS45">
        <v>1</v>
      </c>
      <c r="LU45">
        <v>1</v>
      </c>
      <c r="LV45">
        <v>1</v>
      </c>
      <c r="LW45">
        <v>0</v>
      </c>
      <c r="LX45">
        <v>0</v>
      </c>
      <c r="LY45">
        <v>1</v>
      </c>
      <c r="LZ45">
        <v>1</v>
      </c>
      <c r="MA45">
        <v>0</v>
      </c>
      <c r="MB45">
        <v>1</v>
      </c>
      <c r="MC45">
        <v>0</v>
      </c>
      <c r="MD45">
        <v>1</v>
      </c>
      <c r="ME45">
        <v>1</v>
      </c>
      <c r="MF45">
        <v>0</v>
      </c>
      <c r="MG45">
        <v>0</v>
      </c>
      <c r="MH45">
        <v>0</v>
      </c>
      <c r="MI45">
        <v>0</v>
      </c>
      <c r="MJ45">
        <v>1</v>
      </c>
      <c r="MK45">
        <v>1</v>
      </c>
      <c r="ML45">
        <v>0</v>
      </c>
      <c r="MM45">
        <v>0</v>
      </c>
      <c r="MN45">
        <v>0</v>
      </c>
      <c r="MO45">
        <v>1</v>
      </c>
      <c r="MP45">
        <v>0</v>
      </c>
      <c r="MQ45">
        <v>1</v>
      </c>
      <c r="MR45">
        <v>1</v>
      </c>
      <c r="MS45">
        <v>1</v>
      </c>
    </row>
    <row r="46" spans="1:358" ht="18" x14ac:dyDescent="0.25">
      <c r="A46" t="s">
        <v>438</v>
      </c>
      <c r="B46" s="3">
        <v>58</v>
      </c>
      <c r="C46" s="3">
        <v>0</v>
      </c>
      <c r="D46" s="3">
        <v>0</v>
      </c>
      <c r="E46" s="3"/>
      <c r="F46" s="55">
        <v>743</v>
      </c>
      <c r="G46" s="55"/>
      <c r="H46" s="57">
        <v>0</v>
      </c>
      <c r="I46" s="57">
        <v>0</v>
      </c>
      <c r="J46" s="57"/>
      <c r="K46" s="3"/>
      <c r="L46" s="3"/>
      <c r="M46" s="3"/>
      <c r="N46" s="3">
        <v>0</v>
      </c>
      <c r="O46" s="2">
        <v>45063</v>
      </c>
      <c r="P46" s="64">
        <f t="shared" si="0"/>
        <v>743</v>
      </c>
      <c r="Q46">
        <v>1</v>
      </c>
      <c r="R46">
        <v>1</v>
      </c>
      <c r="S46">
        <v>0</v>
      </c>
      <c r="T46">
        <v>91</v>
      </c>
      <c r="U46">
        <v>0</v>
      </c>
      <c r="V46">
        <v>1</v>
      </c>
      <c r="W46">
        <v>0</v>
      </c>
      <c r="X46">
        <v>1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120</v>
      </c>
      <c r="AO46">
        <v>176</v>
      </c>
      <c r="AP46">
        <v>38.700000000000003</v>
      </c>
      <c r="AQ46">
        <v>38.700000000000003</v>
      </c>
      <c r="AR46">
        <v>138</v>
      </c>
      <c r="AS46">
        <v>89</v>
      </c>
      <c r="AT46">
        <v>2</v>
      </c>
      <c r="AU46">
        <v>0</v>
      </c>
      <c r="AV46">
        <v>92</v>
      </c>
      <c r="AW46" s="1">
        <v>44320</v>
      </c>
      <c r="AX46" s="1">
        <v>44320</v>
      </c>
      <c r="AY46">
        <v>0</v>
      </c>
      <c r="AZ46" s="1">
        <v>44319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 s="66">
        <v>0</v>
      </c>
      <c r="BN46">
        <v>0</v>
      </c>
      <c r="BO46">
        <v>0</v>
      </c>
      <c r="BP46" s="66">
        <f t="shared" si="17"/>
        <v>0</v>
      </c>
      <c r="BQ46">
        <v>0</v>
      </c>
      <c r="BR46">
        <v>0</v>
      </c>
      <c r="BS46">
        <v>0</v>
      </c>
      <c r="BT46">
        <v>0</v>
      </c>
      <c r="BU46" s="66">
        <f t="shared" si="18"/>
        <v>0</v>
      </c>
      <c r="BV46">
        <v>0</v>
      </c>
      <c r="BW46">
        <v>0</v>
      </c>
      <c r="BX46" s="66">
        <f t="shared" si="3"/>
        <v>0</v>
      </c>
      <c r="BY46">
        <v>0</v>
      </c>
      <c r="BZ46">
        <f t="shared" si="4"/>
        <v>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f t="shared" si="7"/>
        <v>0</v>
      </c>
      <c r="CP46">
        <v>0</v>
      </c>
      <c r="CQ46">
        <v>1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1</v>
      </c>
      <c r="CY46">
        <v>0</v>
      </c>
      <c r="DA46" s="1">
        <v>44320</v>
      </c>
      <c r="DB46" s="66">
        <f t="shared" si="5"/>
        <v>1</v>
      </c>
      <c r="DC46" t="s">
        <v>1</v>
      </c>
      <c r="DD46">
        <v>0</v>
      </c>
      <c r="DE46" s="1">
        <v>44328</v>
      </c>
      <c r="DF46">
        <v>9</v>
      </c>
      <c r="DG46" s="1">
        <v>44320</v>
      </c>
      <c r="DH46">
        <v>15</v>
      </c>
      <c r="DI46">
        <v>10.4</v>
      </c>
      <c r="DJ46">
        <v>1.1000000000000001</v>
      </c>
      <c r="DK46" s="66">
        <v>348</v>
      </c>
      <c r="DL46">
        <v>6</v>
      </c>
      <c r="DM46">
        <v>95</v>
      </c>
      <c r="DN46">
        <v>4464</v>
      </c>
      <c r="DO46">
        <v>2</v>
      </c>
      <c r="DP46">
        <v>348</v>
      </c>
      <c r="DQ46">
        <v>4464</v>
      </c>
      <c r="DR46">
        <v>81</v>
      </c>
      <c r="DS46">
        <v>7.2</v>
      </c>
      <c r="DU46">
        <v>44</v>
      </c>
      <c r="DV46">
        <v>4</v>
      </c>
      <c r="DW46" s="1">
        <v>44320</v>
      </c>
      <c r="DX46">
        <v>12</v>
      </c>
      <c r="DY46">
        <v>10</v>
      </c>
      <c r="DZ46">
        <v>0</v>
      </c>
      <c r="EA46">
        <v>12</v>
      </c>
      <c r="EB46">
        <v>0</v>
      </c>
      <c r="EC46">
        <v>1.7</v>
      </c>
      <c r="ED46">
        <v>1.24</v>
      </c>
      <c r="EE46">
        <v>0</v>
      </c>
      <c r="EF46">
        <v>1.7</v>
      </c>
      <c r="EG46">
        <v>0</v>
      </c>
      <c r="EH46">
        <v>61</v>
      </c>
      <c r="EI46" s="62">
        <v>1.44262295081967</v>
      </c>
      <c r="EJ46">
        <v>88</v>
      </c>
      <c r="EK46">
        <v>0</v>
      </c>
      <c r="EL46">
        <f t="shared" si="6"/>
        <v>27</v>
      </c>
      <c r="EM46">
        <v>128</v>
      </c>
      <c r="EN46">
        <v>0</v>
      </c>
      <c r="EO46">
        <v>0</v>
      </c>
      <c r="ER46">
        <v>27</v>
      </c>
      <c r="ES46">
        <v>128</v>
      </c>
      <c r="ET46">
        <v>19</v>
      </c>
      <c r="EU46">
        <v>14</v>
      </c>
      <c r="EV46">
        <v>89</v>
      </c>
      <c r="EW46">
        <v>67</v>
      </c>
      <c r="EX46">
        <v>13</v>
      </c>
      <c r="EY46">
        <v>7</v>
      </c>
      <c r="FB46">
        <v>1</v>
      </c>
      <c r="FC46">
        <v>1</v>
      </c>
      <c r="FD46">
        <v>0</v>
      </c>
      <c r="FF46">
        <v>1</v>
      </c>
      <c r="FG46">
        <v>0</v>
      </c>
      <c r="FI46"/>
      <c r="FK46">
        <v>0</v>
      </c>
      <c r="FL46">
        <v>0</v>
      </c>
      <c r="FO46">
        <v>0</v>
      </c>
      <c r="FQ46" s="22">
        <v>44319</v>
      </c>
      <c r="FR46" s="22" t="s">
        <v>230</v>
      </c>
      <c r="FS46" s="15">
        <v>0</v>
      </c>
      <c r="FT46" s="15">
        <v>0</v>
      </c>
      <c r="FU46" s="15">
        <v>1</v>
      </c>
      <c r="FV46" s="15">
        <v>0</v>
      </c>
      <c r="FW46" s="15">
        <v>1</v>
      </c>
      <c r="FX46" s="15">
        <v>1</v>
      </c>
      <c r="FY46" s="15">
        <v>0</v>
      </c>
      <c r="FZ46" s="15">
        <v>0</v>
      </c>
      <c r="GA46" s="15">
        <v>0</v>
      </c>
      <c r="GB46" s="15">
        <v>1</v>
      </c>
      <c r="GC46" s="15">
        <v>0</v>
      </c>
      <c r="GD46" s="15">
        <v>1</v>
      </c>
      <c r="GE46" s="15">
        <v>1</v>
      </c>
      <c r="GF46" s="15">
        <v>0</v>
      </c>
      <c r="GG46" s="15">
        <v>0</v>
      </c>
      <c r="GH46" s="15">
        <v>0</v>
      </c>
      <c r="GI46" s="15">
        <v>1</v>
      </c>
      <c r="GJ46" s="15">
        <v>0</v>
      </c>
      <c r="GK46" s="15">
        <v>0</v>
      </c>
      <c r="GL46" s="15">
        <v>0</v>
      </c>
      <c r="GM46" s="15">
        <v>1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1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1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1</v>
      </c>
      <c r="HJ46" s="15">
        <v>0</v>
      </c>
      <c r="HK46" s="15">
        <v>0</v>
      </c>
      <c r="HL46" s="15">
        <v>1</v>
      </c>
      <c r="HM46" s="15"/>
      <c r="HN46" s="15">
        <v>1</v>
      </c>
      <c r="HO46" s="15">
        <v>1</v>
      </c>
      <c r="HP46" s="15">
        <v>0</v>
      </c>
      <c r="HQ46" s="15">
        <v>0</v>
      </c>
      <c r="HR46" s="15">
        <v>0</v>
      </c>
      <c r="HS46" s="15">
        <v>0</v>
      </c>
      <c r="HT46" s="15">
        <v>1</v>
      </c>
      <c r="HU46" s="15">
        <v>1</v>
      </c>
      <c r="HV46" s="15">
        <v>0</v>
      </c>
      <c r="HW46" s="15">
        <v>0</v>
      </c>
      <c r="HX46" s="15">
        <v>0</v>
      </c>
      <c r="HY46" s="22">
        <v>44323</v>
      </c>
      <c r="HZ46" s="15" t="s">
        <v>231</v>
      </c>
      <c r="IA46" s="15">
        <v>1</v>
      </c>
      <c r="IB46" s="15">
        <v>1</v>
      </c>
      <c r="IC46" s="15">
        <v>1</v>
      </c>
      <c r="ID46" s="15">
        <v>0</v>
      </c>
      <c r="IE46" s="15">
        <v>1</v>
      </c>
      <c r="IF46" s="15">
        <v>1</v>
      </c>
      <c r="IG46" s="15">
        <v>0</v>
      </c>
      <c r="IH46" s="15">
        <v>0</v>
      </c>
      <c r="II46" s="15">
        <v>0</v>
      </c>
      <c r="IJ46" s="15">
        <v>1</v>
      </c>
      <c r="IK46" s="15">
        <v>0</v>
      </c>
      <c r="IL46" s="15">
        <v>0</v>
      </c>
      <c r="IM46" s="15">
        <v>1</v>
      </c>
      <c r="IN46" s="15">
        <v>0</v>
      </c>
      <c r="IO46" s="15">
        <v>0</v>
      </c>
      <c r="IP46" s="15">
        <v>0</v>
      </c>
      <c r="IQ46" s="15">
        <v>1</v>
      </c>
      <c r="IR46" s="15">
        <v>0</v>
      </c>
      <c r="IS46" s="15">
        <v>0</v>
      </c>
      <c r="IT46" s="15">
        <v>0</v>
      </c>
      <c r="IU46" s="15">
        <v>1</v>
      </c>
      <c r="IV46" s="15">
        <v>0</v>
      </c>
      <c r="IW46" s="15">
        <v>1</v>
      </c>
      <c r="IX46" s="15">
        <v>1</v>
      </c>
      <c r="IY46" s="15">
        <v>0</v>
      </c>
      <c r="IZ46" s="15">
        <v>0</v>
      </c>
      <c r="JA46" s="15">
        <v>1</v>
      </c>
      <c r="JB46" s="15">
        <v>0</v>
      </c>
      <c r="JC46" s="15">
        <v>1</v>
      </c>
      <c r="JD46" s="15">
        <v>0</v>
      </c>
      <c r="JE46" s="15">
        <v>0</v>
      </c>
      <c r="JF46" s="15">
        <v>0</v>
      </c>
      <c r="JG46" s="15">
        <v>0</v>
      </c>
      <c r="JH46" s="15">
        <v>0</v>
      </c>
      <c r="JI46" s="15">
        <v>0</v>
      </c>
      <c r="JJ46" s="15">
        <v>1</v>
      </c>
      <c r="JK46" s="15">
        <v>0</v>
      </c>
      <c r="JL46" s="15">
        <v>0</v>
      </c>
      <c r="JM46" s="15">
        <v>0</v>
      </c>
      <c r="JN46" s="15">
        <v>0</v>
      </c>
      <c r="JO46" s="15">
        <v>0</v>
      </c>
      <c r="JP46" s="15">
        <v>0</v>
      </c>
      <c r="JQ46" s="15">
        <v>0</v>
      </c>
      <c r="JR46" s="15">
        <v>0</v>
      </c>
      <c r="JS46" s="15">
        <v>0</v>
      </c>
      <c r="JT46" s="15">
        <v>0</v>
      </c>
      <c r="JU46" s="15">
        <v>0</v>
      </c>
      <c r="JV46" s="15">
        <v>0</v>
      </c>
      <c r="JW46" s="15">
        <v>1</v>
      </c>
      <c r="JX46" s="15">
        <v>0</v>
      </c>
      <c r="JY46" s="15">
        <v>0</v>
      </c>
      <c r="JZ46" s="15">
        <v>0</v>
      </c>
      <c r="KA46" s="15">
        <v>0</v>
      </c>
      <c r="KB46" s="15">
        <v>0</v>
      </c>
      <c r="KC46" s="15">
        <v>1</v>
      </c>
      <c r="KD46" s="15">
        <v>0</v>
      </c>
      <c r="KE46" s="15">
        <v>0</v>
      </c>
      <c r="KF46" s="15">
        <v>0</v>
      </c>
      <c r="KI46">
        <v>1</v>
      </c>
      <c r="KJ46">
        <v>1</v>
      </c>
      <c r="KK46">
        <v>1</v>
      </c>
      <c r="KL46">
        <v>0</v>
      </c>
      <c r="KM46">
        <v>1</v>
      </c>
      <c r="KN46">
        <v>1</v>
      </c>
      <c r="KO46">
        <v>0</v>
      </c>
      <c r="KP46">
        <v>0</v>
      </c>
      <c r="KQ46">
        <v>0</v>
      </c>
      <c r="KR46">
        <v>1</v>
      </c>
      <c r="KS46">
        <v>0</v>
      </c>
      <c r="KT46">
        <v>1</v>
      </c>
      <c r="KU46">
        <v>1</v>
      </c>
      <c r="KV46">
        <v>0</v>
      </c>
      <c r="KW46">
        <v>0</v>
      </c>
      <c r="KX46">
        <v>0</v>
      </c>
      <c r="KY46">
        <v>1</v>
      </c>
      <c r="KZ46">
        <v>0</v>
      </c>
      <c r="LA46">
        <v>0</v>
      </c>
      <c r="LB46">
        <v>0</v>
      </c>
      <c r="LC46">
        <v>1</v>
      </c>
      <c r="LD46">
        <v>0</v>
      </c>
      <c r="LE46">
        <v>1</v>
      </c>
      <c r="LF46">
        <v>1</v>
      </c>
      <c r="LG46">
        <v>0</v>
      </c>
      <c r="LH46">
        <v>0</v>
      </c>
      <c r="LI46">
        <v>1</v>
      </c>
      <c r="LJ46">
        <v>0</v>
      </c>
      <c r="LK46">
        <v>1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1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1</v>
      </c>
      <c r="LZ46">
        <v>0</v>
      </c>
      <c r="MA46">
        <v>0</v>
      </c>
      <c r="MB46">
        <v>1</v>
      </c>
      <c r="MC46">
        <v>0</v>
      </c>
      <c r="MD46">
        <v>1</v>
      </c>
      <c r="ME46">
        <v>1</v>
      </c>
      <c r="MF46">
        <v>0</v>
      </c>
      <c r="MG46">
        <v>0</v>
      </c>
      <c r="MH46">
        <v>0</v>
      </c>
      <c r="MI46">
        <v>0</v>
      </c>
      <c r="MJ46">
        <v>1</v>
      </c>
      <c r="MK46">
        <v>1</v>
      </c>
      <c r="ML46">
        <v>0</v>
      </c>
      <c r="MM46">
        <v>0</v>
      </c>
      <c r="MN46">
        <v>0</v>
      </c>
      <c r="MO46">
        <v>0</v>
      </c>
      <c r="MP46">
        <v>0</v>
      </c>
      <c r="MQ46">
        <f t="shared" si="10"/>
        <v>0</v>
      </c>
      <c r="MR46">
        <f t="shared" si="11"/>
        <v>0</v>
      </c>
    </row>
    <row r="47" spans="1:358" s="39" customFormat="1" ht="18" x14ac:dyDescent="0.25">
      <c r="A47" t="s">
        <v>439</v>
      </c>
      <c r="B47" s="40">
        <v>37</v>
      </c>
      <c r="C47" s="40">
        <v>0</v>
      </c>
      <c r="D47" s="40">
        <v>0</v>
      </c>
      <c r="E47" s="40"/>
      <c r="F47" s="55">
        <v>1650</v>
      </c>
      <c r="G47" s="55"/>
      <c r="H47" s="57">
        <v>0</v>
      </c>
      <c r="I47" s="57">
        <v>0</v>
      </c>
      <c r="J47" s="57"/>
      <c r="K47" s="40"/>
      <c r="L47" s="40"/>
      <c r="M47" s="40"/>
      <c r="N47" s="40">
        <v>0</v>
      </c>
      <c r="O47" s="42">
        <v>44256</v>
      </c>
      <c r="P47" s="64">
        <f t="shared" si="0"/>
        <v>1650</v>
      </c>
      <c r="Q47" s="39">
        <v>1</v>
      </c>
      <c r="R47" s="39">
        <v>1</v>
      </c>
      <c r="S47" s="39">
        <v>1</v>
      </c>
      <c r="T47" s="39">
        <v>75</v>
      </c>
      <c r="U47" s="39">
        <v>1</v>
      </c>
      <c r="V47" s="39">
        <v>1</v>
      </c>
      <c r="W47" s="39">
        <v>0</v>
      </c>
      <c r="X47" s="39">
        <v>0</v>
      </c>
      <c r="Y47" s="39">
        <v>0</v>
      </c>
      <c r="Z47" s="39">
        <v>1</v>
      </c>
      <c r="AA47" s="39">
        <v>0</v>
      </c>
      <c r="AB47" s="39">
        <v>0</v>
      </c>
      <c r="AC47" s="39">
        <v>0</v>
      </c>
      <c r="AD47" s="39">
        <v>0</v>
      </c>
      <c r="AE47" s="39">
        <v>0</v>
      </c>
      <c r="AF47" s="39">
        <v>0</v>
      </c>
      <c r="AG47" s="39">
        <v>0</v>
      </c>
      <c r="AH47" s="39">
        <v>0</v>
      </c>
      <c r="AI47" s="39">
        <v>1</v>
      </c>
      <c r="AJ47" s="39">
        <v>1</v>
      </c>
      <c r="AK47" s="39">
        <v>0</v>
      </c>
      <c r="AL47" s="39">
        <v>0</v>
      </c>
      <c r="AM47" s="39">
        <v>0</v>
      </c>
      <c r="AN47" s="39">
        <v>65</v>
      </c>
      <c r="AO47" s="39">
        <v>166</v>
      </c>
      <c r="AP47" s="39">
        <v>23.6</v>
      </c>
      <c r="AQ47" s="39">
        <v>36.9</v>
      </c>
      <c r="AR47" s="39">
        <v>118</v>
      </c>
      <c r="AS47" s="39">
        <v>69</v>
      </c>
      <c r="AT47" s="39">
        <v>1</v>
      </c>
      <c r="AU47">
        <v>0</v>
      </c>
      <c r="AV47" s="39">
        <v>106</v>
      </c>
      <c r="AW47" s="43">
        <v>42606</v>
      </c>
      <c r="AX47" s="43">
        <v>42606</v>
      </c>
      <c r="AY47" s="39">
        <v>0</v>
      </c>
      <c r="AZ47" s="43">
        <v>42606</v>
      </c>
      <c r="BA47" s="39">
        <v>1</v>
      </c>
      <c r="BB47" s="39">
        <v>0</v>
      </c>
      <c r="BC47" s="39">
        <v>0</v>
      </c>
      <c r="BD47" s="39">
        <v>0</v>
      </c>
      <c r="BE47" s="39">
        <v>0</v>
      </c>
      <c r="BF47" s="39">
        <v>0</v>
      </c>
      <c r="BG47" s="39">
        <v>0</v>
      </c>
      <c r="BH47" s="39">
        <v>1</v>
      </c>
      <c r="BI47" s="39">
        <v>0</v>
      </c>
      <c r="BJ47" s="78">
        <v>0</v>
      </c>
      <c r="BK47" s="78">
        <v>0</v>
      </c>
      <c r="BL47" s="78">
        <v>0</v>
      </c>
      <c r="BM47" s="66">
        <v>1</v>
      </c>
      <c r="BN47" s="78">
        <v>0</v>
      </c>
      <c r="BO47" s="78">
        <v>0</v>
      </c>
      <c r="BP47" s="78">
        <v>1</v>
      </c>
      <c r="BQ47">
        <v>0</v>
      </c>
      <c r="BR47" s="78">
        <v>0</v>
      </c>
      <c r="BS47" s="78">
        <v>0</v>
      </c>
      <c r="BT47" s="78">
        <v>0</v>
      </c>
      <c r="BU47" s="78">
        <v>2</v>
      </c>
      <c r="BV47" s="78">
        <v>0</v>
      </c>
      <c r="BW47" s="78">
        <v>0</v>
      </c>
      <c r="BX47" s="66">
        <f t="shared" si="3"/>
        <v>2</v>
      </c>
      <c r="BY47" s="78">
        <v>1</v>
      </c>
      <c r="BZ47">
        <v>1</v>
      </c>
      <c r="CA47" s="39">
        <v>0</v>
      </c>
      <c r="CB47" s="39">
        <v>0</v>
      </c>
      <c r="CD47" s="39">
        <v>0</v>
      </c>
      <c r="CE47" s="39">
        <v>0</v>
      </c>
      <c r="CF47" s="39">
        <v>0</v>
      </c>
      <c r="CG47" s="39">
        <v>1</v>
      </c>
      <c r="CH47" s="39">
        <v>0</v>
      </c>
      <c r="CI47" s="39">
        <v>0</v>
      </c>
      <c r="CJ47" s="39">
        <v>0</v>
      </c>
      <c r="CK47" s="39">
        <v>0</v>
      </c>
      <c r="CL47" s="39">
        <v>0</v>
      </c>
      <c r="CM47" s="39">
        <v>0</v>
      </c>
      <c r="CN47" s="39">
        <v>0</v>
      </c>
      <c r="CO47">
        <v>1</v>
      </c>
      <c r="CP47" s="39">
        <v>0</v>
      </c>
      <c r="CQ47" s="39">
        <v>0</v>
      </c>
      <c r="CR47" s="39">
        <v>0</v>
      </c>
      <c r="CS47" s="39">
        <v>0</v>
      </c>
      <c r="CT47" s="39">
        <v>0</v>
      </c>
      <c r="CU47" s="39">
        <v>0</v>
      </c>
      <c r="CV47" s="39">
        <v>0</v>
      </c>
      <c r="CW47" s="31"/>
      <c r="CX47" s="39">
        <v>1</v>
      </c>
      <c r="CY47">
        <v>0</v>
      </c>
      <c r="DA47" s="43">
        <v>42606</v>
      </c>
      <c r="DB47" s="66">
        <f t="shared" si="5"/>
        <v>0</v>
      </c>
      <c r="DC47" s="39" t="s">
        <v>1</v>
      </c>
      <c r="DD47" s="39">
        <v>0</v>
      </c>
      <c r="DE47" s="43">
        <v>42617</v>
      </c>
      <c r="DF47" s="39">
        <v>12</v>
      </c>
      <c r="DG47" s="43">
        <v>42606</v>
      </c>
      <c r="DH47" s="39">
        <v>13</v>
      </c>
      <c r="DI47" s="39">
        <v>3.2</v>
      </c>
      <c r="DJ47" s="39">
        <v>1.2</v>
      </c>
      <c r="DK47" s="80">
        <v>117</v>
      </c>
      <c r="DM47" s="39">
        <v>88</v>
      </c>
      <c r="DO47" s="39">
        <v>2</v>
      </c>
      <c r="DP47" s="39">
        <v>117</v>
      </c>
      <c r="DR47" s="39">
        <v>81</v>
      </c>
      <c r="DS47" s="39">
        <v>2.8</v>
      </c>
      <c r="DU47" s="39">
        <v>266</v>
      </c>
      <c r="DW47" s="43">
        <v>42605</v>
      </c>
      <c r="DX47" s="39">
        <v>4.7</v>
      </c>
      <c r="DY47" s="39">
        <v>3.6</v>
      </c>
      <c r="DZ47">
        <v>0</v>
      </c>
      <c r="EA47" s="39">
        <v>4.7</v>
      </c>
      <c r="EB47">
        <v>0</v>
      </c>
      <c r="EC47" s="39">
        <v>0.6</v>
      </c>
      <c r="ED47" s="39">
        <v>0.45</v>
      </c>
      <c r="EE47">
        <v>0</v>
      </c>
      <c r="EF47" s="39">
        <v>0.6</v>
      </c>
      <c r="EG47">
        <v>0</v>
      </c>
      <c r="EH47" s="39">
        <v>6</v>
      </c>
      <c r="EI47" s="62">
        <v>1.6666666666666701</v>
      </c>
      <c r="EJ47" s="39">
        <v>10</v>
      </c>
      <c r="EK47">
        <v>0</v>
      </c>
      <c r="EL47">
        <f t="shared" si="6"/>
        <v>4</v>
      </c>
      <c r="EM47" s="39">
        <v>10</v>
      </c>
      <c r="EN47">
        <v>0</v>
      </c>
      <c r="EO47" s="39">
        <v>0.09</v>
      </c>
      <c r="ER47" s="39">
        <v>22</v>
      </c>
      <c r="ES47" s="39">
        <v>17</v>
      </c>
      <c r="ET47" s="39">
        <v>19</v>
      </c>
      <c r="EU47" s="39">
        <v>12</v>
      </c>
      <c r="EV47" s="39">
        <v>33</v>
      </c>
      <c r="EW47" s="39">
        <v>95</v>
      </c>
      <c r="EX47" s="39">
        <v>8</v>
      </c>
      <c r="EY47" s="39">
        <v>3</v>
      </c>
      <c r="FC47" s="39">
        <v>1</v>
      </c>
      <c r="FD47" s="39">
        <v>0</v>
      </c>
      <c r="FF47" s="39">
        <v>1</v>
      </c>
      <c r="FG47">
        <v>0</v>
      </c>
      <c r="FK47">
        <v>0</v>
      </c>
      <c r="FL47">
        <v>0</v>
      </c>
      <c r="FM47"/>
      <c r="FN47"/>
      <c r="FO47">
        <v>0</v>
      </c>
      <c r="FQ47" s="44">
        <v>42606</v>
      </c>
      <c r="FR47" s="44" t="s">
        <v>230</v>
      </c>
      <c r="FS47" s="45">
        <v>0</v>
      </c>
      <c r="FT47" s="45">
        <v>1</v>
      </c>
      <c r="FU47" s="45">
        <v>1</v>
      </c>
      <c r="FV47" s="45">
        <v>0</v>
      </c>
      <c r="FW47" s="45">
        <v>0</v>
      </c>
      <c r="FX47" s="45">
        <v>0</v>
      </c>
      <c r="FY47" s="45">
        <v>0</v>
      </c>
      <c r="FZ47" s="45">
        <v>0</v>
      </c>
      <c r="GA47" s="45">
        <v>0</v>
      </c>
      <c r="GB47" s="45">
        <v>1</v>
      </c>
      <c r="GC47" s="45">
        <v>0</v>
      </c>
      <c r="GD47" s="45">
        <v>0</v>
      </c>
      <c r="GE47" s="45">
        <v>0</v>
      </c>
      <c r="GF47" s="45">
        <v>0</v>
      </c>
      <c r="GG47" s="45">
        <v>0</v>
      </c>
      <c r="GH47" s="45">
        <v>0</v>
      </c>
      <c r="GI47" s="45">
        <v>1</v>
      </c>
      <c r="GJ47" s="45">
        <v>0</v>
      </c>
      <c r="GK47" s="45">
        <v>0</v>
      </c>
      <c r="GL47" s="45">
        <v>1</v>
      </c>
      <c r="GM47" s="45">
        <v>0</v>
      </c>
      <c r="GN47" s="45">
        <v>0</v>
      </c>
      <c r="GO47" s="45">
        <v>0</v>
      </c>
      <c r="GP47" s="45">
        <v>0</v>
      </c>
      <c r="GQ47" s="45">
        <v>0</v>
      </c>
      <c r="GR47" s="45">
        <v>0</v>
      </c>
      <c r="GS47" s="45">
        <v>0</v>
      </c>
      <c r="GT47" s="45">
        <v>1</v>
      </c>
      <c r="GU47" s="45">
        <v>1</v>
      </c>
      <c r="GV47" s="45">
        <v>0</v>
      </c>
      <c r="GW47" s="45">
        <v>0</v>
      </c>
      <c r="GX47" s="45">
        <v>0</v>
      </c>
      <c r="GY47" s="15">
        <v>0</v>
      </c>
      <c r="GZ47" s="15">
        <v>0</v>
      </c>
      <c r="HA47" s="45">
        <v>0</v>
      </c>
      <c r="HB47" s="45">
        <v>1</v>
      </c>
      <c r="HC47" s="45">
        <v>0</v>
      </c>
      <c r="HD47" s="45">
        <v>0</v>
      </c>
      <c r="HE47" s="15">
        <v>0</v>
      </c>
      <c r="HF47" s="15">
        <v>0</v>
      </c>
      <c r="HG47" s="45">
        <v>0</v>
      </c>
      <c r="HH47" s="45">
        <v>0</v>
      </c>
      <c r="HI47" s="45">
        <v>1</v>
      </c>
      <c r="HJ47" s="45">
        <v>0</v>
      </c>
      <c r="HK47" s="45">
        <v>0</v>
      </c>
      <c r="HL47" s="45">
        <v>1</v>
      </c>
      <c r="HM47" s="45"/>
      <c r="HN47" s="45">
        <v>0</v>
      </c>
      <c r="HO47" s="45">
        <v>1</v>
      </c>
      <c r="HP47" s="45">
        <v>0</v>
      </c>
      <c r="HQ47" s="45">
        <v>0</v>
      </c>
      <c r="HR47" s="45">
        <v>0</v>
      </c>
      <c r="HS47" s="45">
        <v>0</v>
      </c>
      <c r="HT47" s="45">
        <v>0</v>
      </c>
      <c r="HU47" s="45">
        <v>0</v>
      </c>
      <c r="HV47" s="45">
        <v>0</v>
      </c>
      <c r="HW47" s="45">
        <v>1</v>
      </c>
      <c r="HX47" s="45">
        <v>1</v>
      </c>
      <c r="HY47" s="45"/>
      <c r="HZ47" s="45"/>
      <c r="IA47" s="45"/>
      <c r="IB47" s="45"/>
      <c r="IC47" s="45"/>
      <c r="ID47" s="45"/>
      <c r="IE47" s="45"/>
      <c r="IF47" s="45"/>
      <c r="IG47" s="45"/>
      <c r="IH47" s="45"/>
      <c r="II47" s="45"/>
      <c r="IJ47" s="45"/>
      <c r="IK47" s="45"/>
      <c r="IL47" s="45"/>
      <c r="IM47" s="45"/>
      <c r="IN47" s="45"/>
      <c r="IO47" s="45"/>
      <c r="IP47" s="45"/>
      <c r="IQ47" s="45"/>
      <c r="IR47" s="45"/>
      <c r="IS47" s="45"/>
      <c r="IT47" s="45"/>
      <c r="IU47" s="45"/>
      <c r="IV47" s="45"/>
      <c r="IW47" s="45"/>
      <c r="IX47" s="45"/>
      <c r="IY47" s="45"/>
      <c r="IZ47" s="45"/>
      <c r="JA47" s="45"/>
      <c r="JB47" s="45"/>
      <c r="JC47" s="45"/>
      <c r="JD47" s="45"/>
      <c r="JE47" s="45"/>
      <c r="JF47" s="45"/>
      <c r="JG47" s="45"/>
      <c r="JH47" s="45"/>
      <c r="JI47" s="45"/>
      <c r="JJ47" s="45"/>
      <c r="JK47" s="45"/>
      <c r="JL47" s="45"/>
      <c r="JM47" s="45"/>
      <c r="JN47" s="45"/>
      <c r="JO47" s="45"/>
      <c r="JP47" s="45"/>
      <c r="JQ47" s="45"/>
      <c r="JR47" s="45"/>
      <c r="JS47" s="45"/>
      <c r="JT47" s="45"/>
      <c r="JU47" s="45"/>
      <c r="JV47" s="45"/>
      <c r="JW47" s="45"/>
      <c r="JX47" s="45"/>
      <c r="JY47" s="45"/>
      <c r="JZ47" s="45"/>
      <c r="KA47" s="45"/>
      <c r="KB47" s="45"/>
      <c r="KC47" s="45"/>
      <c r="KD47" s="45"/>
      <c r="KE47" s="45"/>
      <c r="KF47" s="45"/>
      <c r="KG47"/>
      <c r="KH47"/>
      <c r="KI47">
        <v>0</v>
      </c>
      <c r="KJ47">
        <v>1</v>
      </c>
      <c r="KK47">
        <v>1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1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1</v>
      </c>
      <c r="KZ47">
        <v>0</v>
      </c>
      <c r="LA47">
        <v>0</v>
      </c>
      <c r="LB47">
        <v>1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1</v>
      </c>
      <c r="LK47">
        <v>1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1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1</v>
      </c>
      <c r="LZ47">
        <v>0</v>
      </c>
      <c r="MA47">
        <v>0</v>
      </c>
      <c r="MB47">
        <v>1</v>
      </c>
      <c r="MC47">
        <v>0</v>
      </c>
      <c r="MD47">
        <v>0</v>
      </c>
      <c r="ME47">
        <v>1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1</v>
      </c>
      <c r="MN47">
        <v>1</v>
      </c>
      <c r="MO47">
        <v>0</v>
      </c>
      <c r="MP47">
        <v>0</v>
      </c>
      <c r="MQ47">
        <f t="shared" si="10"/>
        <v>0</v>
      </c>
      <c r="MR47">
        <f t="shared" si="11"/>
        <v>0</v>
      </c>
    </row>
    <row r="48" spans="1:358" ht="18" x14ac:dyDescent="0.25">
      <c r="A48" t="s">
        <v>440</v>
      </c>
      <c r="B48" s="3">
        <v>58</v>
      </c>
      <c r="C48" s="3">
        <v>1</v>
      </c>
      <c r="D48" s="3">
        <v>0</v>
      </c>
      <c r="E48" s="3"/>
      <c r="F48" s="55">
        <v>30</v>
      </c>
      <c r="G48" s="55"/>
      <c r="H48" s="57">
        <v>0</v>
      </c>
      <c r="I48" s="57">
        <v>0</v>
      </c>
      <c r="J48" s="57"/>
      <c r="K48" s="3"/>
      <c r="L48" s="3"/>
      <c r="M48" s="3"/>
      <c r="N48" s="3">
        <v>1</v>
      </c>
      <c r="O48" s="2">
        <v>44553</v>
      </c>
      <c r="P48" s="64">
        <f t="shared" si="0"/>
        <v>30</v>
      </c>
      <c r="Q48">
        <v>1</v>
      </c>
      <c r="R48">
        <v>0</v>
      </c>
      <c r="S48">
        <v>1</v>
      </c>
      <c r="T48">
        <v>92</v>
      </c>
      <c r="U48">
        <v>0</v>
      </c>
      <c r="V48">
        <v>1</v>
      </c>
      <c r="W48">
        <v>0</v>
      </c>
      <c r="X48">
        <v>0</v>
      </c>
      <c r="Y48">
        <v>0</v>
      </c>
      <c r="Z48">
        <v>1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76</v>
      </c>
      <c r="AO48">
        <v>160</v>
      </c>
      <c r="AP48">
        <v>29.7</v>
      </c>
      <c r="AQ48">
        <v>36.200000000000003</v>
      </c>
      <c r="AR48">
        <v>110</v>
      </c>
      <c r="AS48">
        <v>78</v>
      </c>
      <c r="AV48">
        <v>102</v>
      </c>
      <c r="AW48" s="1">
        <v>44523</v>
      </c>
      <c r="AX48" s="1">
        <v>44523</v>
      </c>
      <c r="AY48">
        <v>0</v>
      </c>
      <c r="AZ48" s="1">
        <v>44523</v>
      </c>
      <c r="BA48">
        <v>1</v>
      </c>
      <c r="BB48">
        <v>1</v>
      </c>
      <c r="BC48">
        <v>1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0</v>
      </c>
      <c r="BM48" s="66">
        <v>2</v>
      </c>
      <c r="BN48">
        <v>0</v>
      </c>
      <c r="BO48">
        <v>2</v>
      </c>
      <c r="BP48" s="66">
        <f t="shared" ref="BP48:BP49" si="20">BJ48+BK48+BL48+BM48+BN48+BO48</f>
        <v>4</v>
      </c>
      <c r="BQ48" s="39">
        <v>1</v>
      </c>
      <c r="BR48">
        <v>0</v>
      </c>
      <c r="BS48">
        <v>3</v>
      </c>
      <c r="BT48">
        <v>0</v>
      </c>
      <c r="BU48" s="66">
        <f t="shared" ref="BU48:BU49" si="21">BM48</f>
        <v>2</v>
      </c>
      <c r="BV48">
        <v>0</v>
      </c>
      <c r="BW48">
        <v>2</v>
      </c>
      <c r="BX48" s="66">
        <f t="shared" si="3"/>
        <v>7</v>
      </c>
      <c r="BY48" s="39">
        <v>1</v>
      </c>
      <c r="BZ48">
        <v>1</v>
      </c>
      <c r="CA48">
        <v>1</v>
      </c>
      <c r="CB48">
        <v>1</v>
      </c>
      <c r="CC48">
        <v>2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f t="shared" si="7"/>
        <v>0</v>
      </c>
      <c r="CP48">
        <v>0</v>
      </c>
      <c r="CQ48">
        <v>0</v>
      </c>
      <c r="CR48">
        <v>1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DA48" s="1">
        <v>44532</v>
      </c>
      <c r="DB48" s="66">
        <f t="shared" si="5"/>
        <v>9</v>
      </c>
      <c r="DC48" t="s">
        <v>3</v>
      </c>
      <c r="DD48">
        <v>1</v>
      </c>
      <c r="DE48" s="1">
        <v>44552</v>
      </c>
      <c r="DF48">
        <v>21</v>
      </c>
      <c r="DG48" s="1">
        <v>44526</v>
      </c>
      <c r="DH48">
        <v>12</v>
      </c>
      <c r="DI48" s="1">
        <v>27.2</v>
      </c>
      <c r="DJ48">
        <v>1.2</v>
      </c>
      <c r="DK48" s="66">
        <v>91</v>
      </c>
      <c r="DL48">
        <v>1.25</v>
      </c>
      <c r="DM48">
        <v>16</v>
      </c>
      <c r="DN48">
        <v>20000</v>
      </c>
      <c r="DP48">
        <v>100</v>
      </c>
      <c r="DQ48">
        <v>20000</v>
      </c>
      <c r="DR48">
        <v>93</v>
      </c>
      <c r="DS48">
        <v>17</v>
      </c>
      <c r="DT48" t="s">
        <v>106</v>
      </c>
      <c r="DU48" t="s">
        <v>106</v>
      </c>
      <c r="DV48">
        <v>6</v>
      </c>
      <c r="DW48" s="1">
        <v>44523</v>
      </c>
      <c r="DX48" s="62">
        <v>15</v>
      </c>
      <c r="DY48" s="62">
        <v>21.3</v>
      </c>
      <c r="DZ48">
        <v>1</v>
      </c>
      <c r="EA48">
        <v>21.3</v>
      </c>
      <c r="EB48">
        <v>1</v>
      </c>
      <c r="EC48">
        <v>4</v>
      </c>
      <c r="ED48">
        <v>3.9</v>
      </c>
      <c r="EE48">
        <v>1</v>
      </c>
      <c r="EF48">
        <v>3.9</v>
      </c>
      <c r="EG48">
        <v>1</v>
      </c>
      <c r="EH48">
        <v>9</v>
      </c>
      <c r="EI48" s="62">
        <v>5.6666666666666696</v>
      </c>
      <c r="EJ48">
        <v>51</v>
      </c>
      <c r="EK48">
        <v>0</v>
      </c>
      <c r="EL48">
        <f t="shared" si="6"/>
        <v>42</v>
      </c>
      <c r="EM48">
        <v>51</v>
      </c>
      <c r="EN48">
        <v>0</v>
      </c>
      <c r="EO48">
        <v>0</v>
      </c>
      <c r="ER48">
        <v>20</v>
      </c>
      <c r="ES48" t="s">
        <v>106</v>
      </c>
      <c r="ET48">
        <v>110</v>
      </c>
      <c r="EU48">
        <v>71</v>
      </c>
      <c r="EV48">
        <v>33</v>
      </c>
      <c r="EW48">
        <v>94</v>
      </c>
      <c r="EX48">
        <v>100</v>
      </c>
      <c r="EY48">
        <v>44</v>
      </c>
      <c r="FA48">
        <v>7.46</v>
      </c>
      <c r="FC48">
        <v>0</v>
      </c>
      <c r="FF48">
        <v>0</v>
      </c>
      <c r="FG48">
        <v>0</v>
      </c>
      <c r="FI48"/>
      <c r="FK48">
        <v>0</v>
      </c>
      <c r="FL48">
        <v>0</v>
      </c>
      <c r="FO48">
        <v>0</v>
      </c>
      <c r="FP48" t="s">
        <v>107</v>
      </c>
      <c r="FQ48" s="22">
        <v>44524</v>
      </c>
      <c r="FR48" s="22" t="s">
        <v>230</v>
      </c>
      <c r="FS48" s="15">
        <v>1</v>
      </c>
      <c r="FT48" s="15">
        <v>0</v>
      </c>
      <c r="FU48" s="15">
        <v>1</v>
      </c>
      <c r="FV48" s="15">
        <v>0</v>
      </c>
      <c r="FW48" s="15">
        <v>1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1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1</v>
      </c>
      <c r="GK48" s="15">
        <v>0</v>
      </c>
      <c r="GL48" s="15">
        <v>0</v>
      </c>
      <c r="GM48" s="15">
        <v>1</v>
      </c>
      <c r="GN48" s="15">
        <v>0</v>
      </c>
      <c r="GO48" s="15">
        <v>1</v>
      </c>
      <c r="GP48" s="15">
        <v>1</v>
      </c>
      <c r="GQ48" s="15">
        <v>0</v>
      </c>
      <c r="GR48" s="15">
        <v>1</v>
      </c>
      <c r="GS48" s="15">
        <v>1</v>
      </c>
      <c r="GT48" s="15">
        <v>0</v>
      </c>
      <c r="GU48" s="15">
        <v>1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1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1</v>
      </c>
      <c r="HI48" s="15">
        <v>1</v>
      </c>
      <c r="HJ48" s="15">
        <v>1</v>
      </c>
      <c r="HK48" s="15">
        <v>0</v>
      </c>
      <c r="HL48" s="15">
        <v>1</v>
      </c>
      <c r="HM48" s="15">
        <v>0</v>
      </c>
      <c r="HN48" s="15">
        <v>1</v>
      </c>
      <c r="HO48" s="15">
        <v>1</v>
      </c>
      <c r="HP48" s="15">
        <v>0</v>
      </c>
      <c r="HQ48" s="15">
        <v>0</v>
      </c>
      <c r="HR48" s="15">
        <v>0</v>
      </c>
      <c r="HS48" s="15">
        <v>0</v>
      </c>
      <c r="HT48" s="15">
        <v>1</v>
      </c>
      <c r="HU48" s="15">
        <v>1</v>
      </c>
      <c r="HV48" s="15">
        <v>0</v>
      </c>
      <c r="HW48" s="15">
        <v>0</v>
      </c>
      <c r="HX48" s="15">
        <v>0</v>
      </c>
      <c r="HY48" s="22">
        <v>44531</v>
      </c>
      <c r="HZ48" s="15" t="s">
        <v>230</v>
      </c>
      <c r="IA48" s="15">
        <v>1</v>
      </c>
      <c r="IB48" s="15">
        <v>0</v>
      </c>
      <c r="IC48" s="15">
        <v>1</v>
      </c>
      <c r="ID48" s="15">
        <v>0</v>
      </c>
      <c r="IE48" s="15">
        <v>1</v>
      </c>
      <c r="IF48" s="15">
        <v>0</v>
      </c>
      <c r="IG48" s="15">
        <v>0</v>
      </c>
      <c r="IH48" s="15">
        <v>0</v>
      </c>
      <c r="II48" s="15">
        <v>0</v>
      </c>
      <c r="IJ48" s="15">
        <v>0</v>
      </c>
      <c r="IK48" s="15">
        <v>0</v>
      </c>
      <c r="IL48" s="15">
        <v>1</v>
      </c>
      <c r="IM48" s="15">
        <v>0</v>
      </c>
      <c r="IN48" s="15">
        <v>0</v>
      </c>
      <c r="IO48" s="15">
        <v>0</v>
      </c>
      <c r="IP48" s="15">
        <v>0</v>
      </c>
      <c r="IQ48" s="15">
        <v>0</v>
      </c>
      <c r="IR48" s="15">
        <v>1</v>
      </c>
      <c r="IS48" s="15">
        <v>0</v>
      </c>
      <c r="IT48" s="15">
        <v>0</v>
      </c>
      <c r="IU48" s="15">
        <v>1</v>
      </c>
      <c r="IV48" s="15">
        <v>0</v>
      </c>
      <c r="IW48" s="15">
        <v>1</v>
      </c>
      <c r="IX48" s="15">
        <v>1</v>
      </c>
      <c r="IY48" s="15">
        <v>0</v>
      </c>
      <c r="IZ48" s="15">
        <v>1</v>
      </c>
      <c r="JA48" s="15">
        <v>1</v>
      </c>
      <c r="JB48" s="15">
        <v>0</v>
      </c>
      <c r="JC48" s="15">
        <v>1</v>
      </c>
      <c r="JD48" s="15">
        <v>0</v>
      </c>
      <c r="JE48" s="15">
        <v>0</v>
      </c>
      <c r="JF48" s="15">
        <v>0</v>
      </c>
      <c r="JG48" s="15">
        <v>0</v>
      </c>
      <c r="JH48" s="15">
        <v>0</v>
      </c>
      <c r="JI48" s="15">
        <v>0</v>
      </c>
      <c r="JJ48" s="15">
        <v>1</v>
      </c>
      <c r="JK48" s="15">
        <v>0</v>
      </c>
      <c r="JL48" s="15">
        <v>0</v>
      </c>
      <c r="JM48" s="15">
        <v>0</v>
      </c>
      <c r="JN48" s="15">
        <v>0</v>
      </c>
      <c r="JO48" s="15">
        <v>0</v>
      </c>
      <c r="JP48" s="15">
        <v>1</v>
      </c>
      <c r="JQ48" s="15">
        <v>1</v>
      </c>
      <c r="JR48" s="15">
        <v>0</v>
      </c>
      <c r="JS48" s="15">
        <v>0</v>
      </c>
      <c r="JT48" s="15">
        <v>0</v>
      </c>
      <c r="JU48" s="15">
        <v>0</v>
      </c>
      <c r="JV48" s="15">
        <v>0</v>
      </c>
      <c r="JW48" s="15">
        <v>1</v>
      </c>
      <c r="JX48" s="15">
        <v>0</v>
      </c>
      <c r="JY48" s="15">
        <v>0</v>
      </c>
      <c r="JZ48" s="15">
        <v>0</v>
      </c>
      <c r="KA48" s="15">
        <v>0</v>
      </c>
      <c r="KB48" s="15">
        <v>1</v>
      </c>
      <c r="KC48" s="15">
        <v>1</v>
      </c>
      <c r="KD48" s="15">
        <v>0</v>
      </c>
      <c r="KE48" s="15">
        <v>0</v>
      </c>
      <c r="KF48" s="15">
        <v>0</v>
      </c>
      <c r="KI48">
        <v>1</v>
      </c>
      <c r="KJ48">
        <v>0</v>
      </c>
      <c r="KK48">
        <v>1</v>
      </c>
      <c r="KL48">
        <v>0</v>
      </c>
      <c r="KM48">
        <v>1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1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1</v>
      </c>
      <c r="LA48">
        <v>0</v>
      </c>
      <c r="LB48">
        <v>0</v>
      </c>
      <c r="LC48">
        <v>1</v>
      </c>
      <c r="LD48">
        <v>0</v>
      </c>
      <c r="LE48">
        <v>1</v>
      </c>
      <c r="LF48">
        <v>1</v>
      </c>
      <c r="LG48">
        <v>0</v>
      </c>
      <c r="LH48">
        <v>1</v>
      </c>
      <c r="LI48">
        <v>1</v>
      </c>
      <c r="LJ48">
        <v>0</v>
      </c>
      <c r="LK48">
        <v>1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1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1</v>
      </c>
      <c r="LY48">
        <v>1</v>
      </c>
      <c r="LZ48">
        <v>1</v>
      </c>
      <c r="MA48">
        <v>0</v>
      </c>
      <c r="MB48">
        <v>1</v>
      </c>
      <c r="MC48">
        <v>0</v>
      </c>
      <c r="MD48">
        <v>1</v>
      </c>
      <c r="ME48">
        <v>1</v>
      </c>
      <c r="MF48">
        <v>0</v>
      </c>
      <c r="MG48">
        <v>0</v>
      </c>
      <c r="MH48">
        <v>0</v>
      </c>
      <c r="MI48">
        <v>0</v>
      </c>
      <c r="MJ48">
        <v>1</v>
      </c>
      <c r="MK48">
        <v>1</v>
      </c>
      <c r="ML48">
        <v>0</v>
      </c>
      <c r="MM48">
        <v>0</v>
      </c>
      <c r="MN48">
        <v>0</v>
      </c>
      <c r="MO48">
        <v>1</v>
      </c>
      <c r="MP48">
        <v>0</v>
      </c>
      <c r="MQ48">
        <v>1</v>
      </c>
      <c r="MR48">
        <v>1</v>
      </c>
      <c r="MS48">
        <v>0</v>
      </c>
      <c r="MT48">
        <v>1</v>
      </c>
    </row>
    <row r="49" spans="1:358" ht="18" x14ac:dyDescent="0.25">
      <c r="A49" t="s">
        <v>441</v>
      </c>
      <c r="B49" s="3">
        <v>26</v>
      </c>
      <c r="C49" s="3">
        <v>0</v>
      </c>
      <c r="D49" s="3">
        <v>1</v>
      </c>
      <c r="E49" s="26">
        <v>44928</v>
      </c>
      <c r="F49" s="61">
        <v>8</v>
      </c>
      <c r="G49" s="61"/>
      <c r="H49" s="58">
        <v>1</v>
      </c>
      <c r="I49" s="57">
        <v>1</v>
      </c>
      <c r="J49" s="58">
        <v>1</v>
      </c>
      <c r="K49" s="1">
        <v>44928</v>
      </c>
      <c r="L49" s="66">
        <v>1</v>
      </c>
      <c r="M49" s="1">
        <v>44972</v>
      </c>
      <c r="N49" s="3">
        <v>0</v>
      </c>
      <c r="O49" s="2">
        <v>45062</v>
      </c>
      <c r="P49" s="64">
        <f t="shared" si="0"/>
        <v>142</v>
      </c>
      <c r="Q49">
        <v>1</v>
      </c>
      <c r="R49">
        <v>1</v>
      </c>
      <c r="S49">
        <v>0</v>
      </c>
      <c r="T49">
        <v>28</v>
      </c>
      <c r="U49">
        <v>1</v>
      </c>
      <c r="V49">
        <v>1</v>
      </c>
      <c r="W49">
        <v>0</v>
      </c>
      <c r="X49">
        <v>0</v>
      </c>
      <c r="Y49">
        <v>0</v>
      </c>
      <c r="Z49">
        <v>1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65</v>
      </c>
      <c r="AO49">
        <v>172</v>
      </c>
      <c r="AP49">
        <v>22</v>
      </c>
      <c r="AQ49">
        <v>38.5</v>
      </c>
      <c r="AR49">
        <v>118</v>
      </c>
      <c r="AS49">
        <v>90</v>
      </c>
      <c r="AT49">
        <v>3</v>
      </c>
      <c r="AU49">
        <v>1</v>
      </c>
      <c r="AV49">
        <v>122</v>
      </c>
      <c r="AW49" s="1">
        <v>44920</v>
      </c>
      <c r="AX49" s="1">
        <v>44920</v>
      </c>
      <c r="AY49">
        <v>0</v>
      </c>
      <c r="AZ49" s="1">
        <v>44918</v>
      </c>
      <c r="BA49">
        <v>1</v>
      </c>
      <c r="BB49">
        <v>1</v>
      </c>
      <c r="BC49">
        <v>1</v>
      </c>
      <c r="BD49">
        <v>1</v>
      </c>
      <c r="BE49">
        <v>0</v>
      </c>
      <c r="BF49">
        <v>0</v>
      </c>
      <c r="BG49">
        <v>0</v>
      </c>
      <c r="BH49">
        <v>1</v>
      </c>
      <c r="BI49">
        <v>1</v>
      </c>
      <c r="BJ49">
        <v>0</v>
      </c>
      <c r="BK49">
        <v>0</v>
      </c>
      <c r="BL49">
        <v>0</v>
      </c>
      <c r="BM49" s="66">
        <v>0</v>
      </c>
      <c r="BN49">
        <v>0</v>
      </c>
      <c r="BO49">
        <v>0</v>
      </c>
      <c r="BP49" s="66">
        <f t="shared" si="20"/>
        <v>0</v>
      </c>
      <c r="BQ49">
        <v>0</v>
      </c>
      <c r="BR49">
        <v>0</v>
      </c>
      <c r="BS49">
        <v>3</v>
      </c>
      <c r="BT49">
        <v>0</v>
      </c>
      <c r="BU49" s="66">
        <f t="shared" si="21"/>
        <v>0</v>
      </c>
      <c r="BV49">
        <v>0</v>
      </c>
      <c r="BW49">
        <v>0</v>
      </c>
      <c r="BX49" s="66">
        <f t="shared" si="3"/>
        <v>3</v>
      </c>
      <c r="BY49" s="39">
        <v>1</v>
      </c>
      <c r="BZ49">
        <v>1</v>
      </c>
      <c r="CA49">
        <v>1</v>
      </c>
      <c r="CB49">
        <v>1</v>
      </c>
      <c r="CC49">
        <v>3</v>
      </c>
      <c r="CD49">
        <v>0</v>
      </c>
      <c r="CE49">
        <v>1</v>
      </c>
      <c r="CF49">
        <v>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1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 s="1">
        <v>44921</v>
      </c>
      <c r="DB49" s="66">
        <f t="shared" si="5"/>
        <v>3</v>
      </c>
      <c r="DC49" t="s">
        <v>1</v>
      </c>
      <c r="DD49">
        <v>1</v>
      </c>
      <c r="DE49" s="1">
        <v>44981</v>
      </c>
      <c r="DF49">
        <v>61</v>
      </c>
      <c r="DG49" s="1">
        <v>44922</v>
      </c>
      <c r="DH49">
        <v>9</v>
      </c>
      <c r="DI49">
        <v>23</v>
      </c>
      <c r="DJ49">
        <v>2.6</v>
      </c>
      <c r="DK49" s="66">
        <v>165</v>
      </c>
      <c r="DL49">
        <v>6.04</v>
      </c>
      <c r="DM49">
        <v>70</v>
      </c>
      <c r="DN49" t="s">
        <v>110</v>
      </c>
      <c r="DO49">
        <v>1</v>
      </c>
      <c r="DP49">
        <v>165</v>
      </c>
      <c r="DQ49" t="s">
        <v>111</v>
      </c>
      <c r="DR49">
        <v>55</v>
      </c>
      <c r="DS49">
        <v>5.7</v>
      </c>
      <c r="DV49">
        <v>13</v>
      </c>
      <c r="DW49" s="1">
        <v>44920</v>
      </c>
      <c r="DX49">
        <v>27</v>
      </c>
      <c r="DY49">
        <v>41.6</v>
      </c>
      <c r="DZ49">
        <v>1</v>
      </c>
      <c r="EA49">
        <v>41.6</v>
      </c>
      <c r="EB49">
        <v>1</v>
      </c>
      <c r="EC49">
        <v>2.44</v>
      </c>
      <c r="ED49">
        <v>1.5</v>
      </c>
      <c r="EE49">
        <v>1</v>
      </c>
      <c r="EF49">
        <v>2.44</v>
      </c>
      <c r="EG49">
        <v>1</v>
      </c>
      <c r="EH49">
        <v>48</v>
      </c>
      <c r="EI49" s="62">
        <v>4.2083333333333304</v>
      </c>
      <c r="EJ49">
        <v>202</v>
      </c>
      <c r="EK49" s="39">
        <v>1</v>
      </c>
      <c r="EL49">
        <f t="shared" si="6"/>
        <v>154</v>
      </c>
      <c r="EM49">
        <v>302</v>
      </c>
      <c r="EN49" s="39">
        <v>1</v>
      </c>
      <c r="EO49">
        <v>0.4</v>
      </c>
      <c r="ER49">
        <v>24</v>
      </c>
      <c r="ES49">
        <v>15</v>
      </c>
      <c r="ET49">
        <v>18</v>
      </c>
      <c r="EU49">
        <v>6</v>
      </c>
      <c r="EV49">
        <v>17</v>
      </c>
      <c r="EW49">
        <v>104</v>
      </c>
      <c r="EX49">
        <v>5</v>
      </c>
      <c r="EY49">
        <v>2</v>
      </c>
      <c r="FA49">
        <v>7.47</v>
      </c>
      <c r="FB49">
        <v>1</v>
      </c>
      <c r="FC49">
        <v>1</v>
      </c>
      <c r="FD49">
        <v>0</v>
      </c>
      <c r="FF49">
        <v>1</v>
      </c>
      <c r="FG49">
        <v>0</v>
      </c>
      <c r="FI49"/>
      <c r="FK49">
        <v>0</v>
      </c>
      <c r="FL49">
        <v>0</v>
      </c>
      <c r="FO49">
        <v>0</v>
      </c>
      <c r="FQ49" s="22">
        <v>44918</v>
      </c>
      <c r="FR49" s="22" t="s">
        <v>230</v>
      </c>
      <c r="FS49" s="15">
        <v>0</v>
      </c>
      <c r="FT49" s="15">
        <v>1</v>
      </c>
      <c r="FU49" s="15">
        <v>1</v>
      </c>
      <c r="FV49" s="15">
        <v>0</v>
      </c>
      <c r="FW49" s="15">
        <v>1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1</v>
      </c>
      <c r="GD49" s="15">
        <v>1</v>
      </c>
      <c r="GE49" s="15">
        <v>0</v>
      </c>
      <c r="GF49" s="15">
        <v>0</v>
      </c>
      <c r="GG49" s="15">
        <v>0</v>
      </c>
      <c r="GH49" s="15">
        <v>0</v>
      </c>
      <c r="GI49" s="15">
        <v>1</v>
      </c>
      <c r="GJ49" s="15">
        <v>0</v>
      </c>
      <c r="GK49" s="15">
        <v>0</v>
      </c>
      <c r="GL49" s="15">
        <v>0</v>
      </c>
      <c r="GM49" s="15">
        <v>1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1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1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1</v>
      </c>
      <c r="HI49" s="15">
        <v>1</v>
      </c>
      <c r="HJ49" s="15">
        <v>1</v>
      </c>
      <c r="HK49" s="15">
        <v>0</v>
      </c>
      <c r="HL49" s="15">
        <v>0</v>
      </c>
      <c r="HM49" s="15"/>
      <c r="HN49" s="15">
        <v>0</v>
      </c>
      <c r="HO49" s="15">
        <v>1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1</v>
      </c>
      <c r="HV49" s="15">
        <v>0</v>
      </c>
      <c r="HW49" s="15">
        <v>0</v>
      </c>
      <c r="HX49" s="15">
        <v>0</v>
      </c>
      <c r="HY49" s="22">
        <v>44928</v>
      </c>
      <c r="HZ49" s="15" t="s">
        <v>231</v>
      </c>
      <c r="IA49" s="15">
        <v>1</v>
      </c>
      <c r="IB49" s="15">
        <v>1</v>
      </c>
      <c r="IC49" s="15">
        <v>1</v>
      </c>
      <c r="ID49" s="15">
        <v>0</v>
      </c>
      <c r="IE49" s="15">
        <v>1</v>
      </c>
      <c r="IF49" s="15">
        <v>0</v>
      </c>
      <c r="IG49" s="15">
        <v>0</v>
      </c>
      <c r="IH49" s="15">
        <v>0</v>
      </c>
      <c r="II49" s="15">
        <v>0</v>
      </c>
      <c r="IJ49" s="15">
        <v>1</v>
      </c>
      <c r="IK49" s="15">
        <v>1</v>
      </c>
      <c r="IL49" s="15">
        <v>1</v>
      </c>
      <c r="IM49" s="15">
        <v>1</v>
      </c>
      <c r="IN49" s="15">
        <v>0</v>
      </c>
      <c r="IO49" s="15">
        <v>0</v>
      </c>
      <c r="IP49" s="15">
        <v>0</v>
      </c>
      <c r="IQ49" s="15">
        <v>0</v>
      </c>
      <c r="IR49" s="15">
        <v>1</v>
      </c>
      <c r="IS49" s="15">
        <v>0</v>
      </c>
      <c r="IT49" s="15">
        <v>0</v>
      </c>
      <c r="IU49" s="15">
        <v>0</v>
      </c>
      <c r="IV49" s="15">
        <v>1</v>
      </c>
      <c r="IW49" s="15">
        <v>1</v>
      </c>
      <c r="IX49" s="15">
        <v>0</v>
      </c>
      <c r="IY49" s="15">
        <v>1</v>
      </c>
      <c r="IZ49" s="15">
        <v>1</v>
      </c>
      <c r="JA49" s="15">
        <v>1</v>
      </c>
      <c r="JB49" s="15">
        <v>0</v>
      </c>
      <c r="JC49" s="15">
        <v>1</v>
      </c>
      <c r="JD49" s="15">
        <v>0</v>
      </c>
      <c r="JE49" s="15">
        <v>0</v>
      </c>
      <c r="JF49" s="15">
        <v>0</v>
      </c>
      <c r="JG49" s="15">
        <v>0</v>
      </c>
      <c r="JH49" s="15">
        <v>0</v>
      </c>
      <c r="JI49" s="15">
        <v>0</v>
      </c>
      <c r="JJ49" s="15">
        <v>1</v>
      </c>
      <c r="JK49" s="15">
        <v>0</v>
      </c>
      <c r="JL49" s="15">
        <v>0</v>
      </c>
      <c r="JM49" s="15">
        <v>0</v>
      </c>
      <c r="JN49" s="15">
        <v>0</v>
      </c>
      <c r="JO49" s="15">
        <v>0</v>
      </c>
      <c r="JP49" s="15">
        <v>1</v>
      </c>
      <c r="JQ49" s="15">
        <v>1</v>
      </c>
      <c r="JR49" s="45">
        <v>1</v>
      </c>
      <c r="JS49" s="45">
        <v>1</v>
      </c>
      <c r="JT49" s="15">
        <v>0</v>
      </c>
      <c r="JU49" s="15">
        <v>1</v>
      </c>
      <c r="JV49" s="15">
        <v>0</v>
      </c>
      <c r="JW49" s="15">
        <v>1</v>
      </c>
      <c r="JX49" s="15">
        <v>0</v>
      </c>
      <c r="JY49" s="15">
        <v>0</v>
      </c>
      <c r="JZ49" s="15">
        <v>1</v>
      </c>
      <c r="KA49" s="15">
        <v>0</v>
      </c>
      <c r="KB49" s="15">
        <v>1</v>
      </c>
      <c r="KC49" s="15">
        <v>1</v>
      </c>
      <c r="KD49" s="15">
        <v>0</v>
      </c>
      <c r="KE49" s="15">
        <v>1</v>
      </c>
      <c r="KF49" s="15">
        <v>1</v>
      </c>
      <c r="KI49">
        <v>1</v>
      </c>
      <c r="KJ49">
        <v>1</v>
      </c>
      <c r="KK49">
        <v>1</v>
      </c>
      <c r="KL49">
        <v>0</v>
      </c>
      <c r="KM49">
        <v>1</v>
      </c>
      <c r="KN49">
        <v>0</v>
      </c>
      <c r="KO49">
        <v>0</v>
      </c>
      <c r="KP49">
        <v>0</v>
      </c>
      <c r="KQ49">
        <v>0</v>
      </c>
      <c r="KR49">
        <v>1</v>
      </c>
      <c r="KS49">
        <v>1</v>
      </c>
      <c r="KT49">
        <v>1</v>
      </c>
      <c r="KU49">
        <v>1</v>
      </c>
      <c r="KV49">
        <v>0</v>
      </c>
      <c r="KW49">
        <v>0</v>
      </c>
      <c r="KX49">
        <v>0</v>
      </c>
      <c r="KY49">
        <v>1</v>
      </c>
      <c r="KZ49">
        <v>1</v>
      </c>
      <c r="LA49">
        <v>0</v>
      </c>
      <c r="LB49">
        <v>0</v>
      </c>
      <c r="LC49">
        <v>1</v>
      </c>
      <c r="LD49">
        <v>1</v>
      </c>
      <c r="LE49">
        <v>1</v>
      </c>
      <c r="LF49">
        <v>0</v>
      </c>
      <c r="LG49">
        <v>1</v>
      </c>
      <c r="LH49">
        <v>1</v>
      </c>
      <c r="LI49">
        <v>1</v>
      </c>
      <c r="LJ49">
        <v>0</v>
      </c>
      <c r="LK49">
        <v>1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1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1</v>
      </c>
      <c r="LY49">
        <v>1</v>
      </c>
      <c r="LZ49">
        <v>1</v>
      </c>
      <c r="MA49">
        <v>1</v>
      </c>
      <c r="MB49">
        <v>0</v>
      </c>
      <c r="MC49">
        <v>1</v>
      </c>
      <c r="MD49">
        <v>0</v>
      </c>
      <c r="ME49">
        <v>1</v>
      </c>
      <c r="MF49">
        <v>0</v>
      </c>
      <c r="MG49">
        <v>0</v>
      </c>
      <c r="MH49">
        <v>1</v>
      </c>
      <c r="MI49">
        <v>0</v>
      </c>
      <c r="MJ49">
        <v>1</v>
      </c>
      <c r="MK49">
        <v>1</v>
      </c>
      <c r="ML49">
        <v>0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</row>
    <row r="50" spans="1:358" s="39" customFormat="1" ht="18" x14ac:dyDescent="0.25">
      <c r="A50" t="s">
        <v>442</v>
      </c>
      <c r="B50" s="40">
        <v>71</v>
      </c>
      <c r="C50" s="40">
        <v>0</v>
      </c>
      <c r="D50" s="40">
        <v>1</v>
      </c>
      <c r="E50" s="41">
        <v>42446</v>
      </c>
      <c r="F50" s="61">
        <v>1</v>
      </c>
      <c r="G50" s="61"/>
      <c r="H50" s="58">
        <v>1</v>
      </c>
      <c r="I50" s="57">
        <v>1</v>
      </c>
      <c r="J50" s="58">
        <v>1</v>
      </c>
      <c r="K50" s="42">
        <v>42445</v>
      </c>
      <c r="L50" s="65">
        <v>1</v>
      </c>
      <c r="M50" s="42">
        <v>42514</v>
      </c>
      <c r="N50" s="40">
        <v>0</v>
      </c>
      <c r="O50" s="42">
        <v>44825</v>
      </c>
      <c r="P50" s="64">
        <f t="shared" si="0"/>
        <v>2380</v>
      </c>
      <c r="Q50" s="39">
        <v>1</v>
      </c>
      <c r="R50" s="39">
        <v>1</v>
      </c>
      <c r="S50" s="39">
        <v>0</v>
      </c>
      <c r="T50" s="39">
        <v>41</v>
      </c>
      <c r="U50" s="39">
        <v>0</v>
      </c>
      <c r="V50" s="39">
        <v>1</v>
      </c>
      <c r="W50" s="39">
        <v>0</v>
      </c>
      <c r="X50" s="39">
        <v>1</v>
      </c>
      <c r="Y50" s="39">
        <v>0</v>
      </c>
      <c r="Z50" s="39">
        <v>1</v>
      </c>
      <c r="AA50" s="39">
        <v>0</v>
      </c>
      <c r="AB50" s="39">
        <v>0</v>
      </c>
      <c r="AC50" s="39">
        <v>0</v>
      </c>
      <c r="AD50" s="39">
        <v>0</v>
      </c>
      <c r="AE50" s="39">
        <v>0</v>
      </c>
      <c r="AF50" s="39">
        <v>0</v>
      </c>
      <c r="AG50" s="39">
        <v>1</v>
      </c>
      <c r="AH50" s="39">
        <v>0</v>
      </c>
      <c r="AI50" s="39">
        <v>0</v>
      </c>
      <c r="AJ50" s="39">
        <v>0</v>
      </c>
      <c r="AK50" s="39">
        <v>0</v>
      </c>
      <c r="AL50" s="39">
        <v>0</v>
      </c>
      <c r="AM50" s="39">
        <v>0</v>
      </c>
      <c r="AN50" s="39">
        <v>71</v>
      </c>
      <c r="AO50" s="39">
        <v>175</v>
      </c>
      <c r="AP50" s="39">
        <v>23.2</v>
      </c>
      <c r="AQ50" s="39">
        <v>37</v>
      </c>
      <c r="AR50" s="39">
        <v>140</v>
      </c>
      <c r="AS50" s="39">
        <v>94</v>
      </c>
      <c r="AT50" s="39">
        <v>3</v>
      </c>
      <c r="AU50">
        <v>1</v>
      </c>
      <c r="AV50" s="39">
        <v>44</v>
      </c>
      <c r="AW50" s="43">
        <v>42445</v>
      </c>
      <c r="AX50" s="43">
        <v>42445</v>
      </c>
      <c r="AY50" s="39">
        <v>0</v>
      </c>
      <c r="AZ50" s="43">
        <v>42433</v>
      </c>
      <c r="BA50" s="39">
        <v>1</v>
      </c>
      <c r="BB50" s="39">
        <v>1</v>
      </c>
      <c r="BC50" s="39">
        <v>1</v>
      </c>
      <c r="BD50" s="39">
        <v>1</v>
      </c>
      <c r="BE50" s="39">
        <v>0</v>
      </c>
      <c r="BF50" s="39">
        <v>0</v>
      </c>
      <c r="BG50" s="39">
        <v>0</v>
      </c>
      <c r="BH50" s="39">
        <v>1</v>
      </c>
      <c r="BI50" s="39">
        <v>0</v>
      </c>
      <c r="BJ50" s="78">
        <v>0</v>
      </c>
      <c r="BK50" s="78">
        <v>1</v>
      </c>
      <c r="BL50" s="78">
        <v>0</v>
      </c>
      <c r="BM50" s="66">
        <v>0</v>
      </c>
      <c r="BN50" s="78">
        <v>0</v>
      </c>
      <c r="BO50" s="78">
        <v>0</v>
      </c>
      <c r="BP50" s="78">
        <v>1</v>
      </c>
      <c r="BQ50">
        <v>0</v>
      </c>
      <c r="BR50" s="78">
        <v>0</v>
      </c>
      <c r="BS50" s="78">
        <v>1</v>
      </c>
      <c r="BT50" s="78">
        <v>0</v>
      </c>
      <c r="BU50" s="78">
        <v>0</v>
      </c>
      <c r="BV50" s="78">
        <v>1</v>
      </c>
      <c r="BW50" s="78">
        <v>0</v>
      </c>
      <c r="BX50" s="66">
        <f t="shared" si="3"/>
        <v>2</v>
      </c>
      <c r="BY50" s="78">
        <v>0</v>
      </c>
      <c r="BZ50">
        <f t="shared" si="4"/>
        <v>0</v>
      </c>
      <c r="CA50" s="39">
        <v>1</v>
      </c>
      <c r="CD50" s="39">
        <v>0</v>
      </c>
      <c r="CE50" s="39">
        <v>0</v>
      </c>
      <c r="CF50" s="39">
        <v>0</v>
      </c>
      <c r="CG50" s="39">
        <v>0</v>
      </c>
      <c r="CH50" s="39">
        <v>1</v>
      </c>
      <c r="CI50" s="39">
        <v>0</v>
      </c>
      <c r="CJ50" s="39">
        <v>0</v>
      </c>
      <c r="CK50" s="39">
        <v>0</v>
      </c>
      <c r="CL50" s="39">
        <v>1</v>
      </c>
      <c r="CM50" s="39">
        <v>0</v>
      </c>
      <c r="CN50" s="39">
        <v>0</v>
      </c>
      <c r="CO50">
        <v>1</v>
      </c>
      <c r="CP50" s="39">
        <v>0</v>
      </c>
      <c r="CQ50" s="39">
        <v>0</v>
      </c>
      <c r="CR50" s="39">
        <v>0</v>
      </c>
      <c r="CS50" s="39">
        <v>0</v>
      </c>
      <c r="CT50" s="39">
        <v>0</v>
      </c>
      <c r="CU50" s="39">
        <v>0</v>
      </c>
      <c r="CV50" s="39">
        <v>0</v>
      </c>
      <c r="CW50" s="31"/>
      <c r="CY50">
        <v>0</v>
      </c>
      <c r="DA50" s="43">
        <v>42447</v>
      </c>
      <c r="DB50" s="66">
        <f t="shared" si="5"/>
        <v>14</v>
      </c>
      <c r="DC50" s="39" t="s">
        <v>1</v>
      </c>
      <c r="DE50" s="43">
        <v>42458</v>
      </c>
      <c r="DF50" s="39">
        <v>11</v>
      </c>
      <c r="DG50" s="43">
        <v>42445</v>
      </c>
      <c r="DH50" s="39">
        <v>16</v>
      </c>
      <c r="DI50" s="39">
        <v>16.899999999999999</v>
      </c>
      <c r="DJ50" s="39">
        <v>0.8</v>
      </c>
      <c r="DK50" s="80">
        <v>290</v>
      </c>
      <c r="DL50" s="39">
        <v>12</v>
      </c>
      <c r="DM50" s="39">
        <v>56</v>
      </c>
      <c r="DO50" s="39">
        <v>1</v>
      </c>
      <c r="DP50" s="39">
        <v>290</v>
      </c>
      <c r="DR50" s="39">
        <v>127</v>
      </c>
      <c r="DW50" s="43">
        <v>42445</v>
      </c>
      <c r="DX50" s="39">
        <v>19.600000000000001</v>
      </c>
      <c r="DY50">
        <f>EA50</f>
        <v>19.600000000000001</v>
      </c>
      <c r="DZ50">
        <v>1</v>
      </c>
      <c r="EA50" s="39">
        <v>19.600000000000001</v>
      </c>
      <c r="EB50">
        <v>1</v>
      </c>
      <c r="EC50" s="39">
        <v>3.16</v>
      </c>
      <c r="ED50">
        <f>EF50</f>
        <v>3.8</v>
      </c>
      <c r="EE50">
        <v>1</v>
      </c>
      <c r="EF50" s="39">
        <v>3.8</v>
      </c>
      <c r="EG50">
        <v>1</v>
      </c>
      <c r="EH50" s="39">
        <v>374</v>
      </c>
      <c r="EI50" s="62">
        <v>1</v>
      </c>
      <c r="EJ50" s="39">
        <v>374</v>
      </c>
      <c r="EK50" s="39">
        <v>1</v>
      </c>
      <c r="EL50">
        <f t="shared" si="6"/>
        <v>0</v>
      </c>
      <c r="EM50" s="39">
        <v>374</v>
      </c>
      <c r="EN50" s="39">
        <v>1</v>
      </c>
      <c r="EO50" s="39">
        <v>0.83</v>
      </c>
      <c r="ER50" s="39">
        <v>22</v>
      </c>
      <c r="ET50" s="39">
        <v>31</v>
      </c>
      <c r="EU50" s="39">
        <v>13</v>
      </c>
      <c r="EV50" s="39">
        <v>43</v>
      </c>
      <c r="EW50" s="39">
        <v>92</v>
      </c>
      <c r="EX50" s="39">
        <v>15</v>
      </c>
      <c r="FC50" s="39">
        <v>1</v>
      </c>
      <c r="FD50" s="39">
        <v>0</v>
      </c>
      <c r="FF50" s="39">
        <v>1</v>
      </c>
      <c r="FG50">
        <v>0</v>
      </c>
      <c r="FK50" s="39">
        <v>0</v>
      </c>
      <c r="FL50">
        <v>0</v>
      </c>
      <c r="FM50"/>
      <c r="FN50"/>
      <c r="FO50">
        <v>0</v>
      </c>
      <c r="FQ50" s="44">
        <v>42444</v>
      </c>
      <c r="FR50" s="44" t="s">
        <v>230</v>
      </c>
      <c r="FS50" s="45">
        <v>0</v>
      </c>
      <c r="FT50" s="45">
        <v>0</v>
      </c>
      <c r="FU50" s="45">
        <v>1</v>
      </c>
      <c r="FV50" s="45">
        <v>0</v>
      </c>
      <c r="FW50" s="45">
        <v>1</v>
      </c>
      <c r="FX50" s="45">
        <v>0</v>
      </c>
      <c r="FY50" s="45">
        <v>0</v>
      </c>
      <c r="FZ50" s="45">
        <v>1</v>
      </c>
      <c r="GA50" s="45">
        <v>1</v>
      </c>
      <c r="GB50" s="45">
        <v>1</v>
      </c>
      <c r="GC50" s="45">
        <v>1</v>
      </c>
      <c r="GD50" s="45">
        <v>1</v>
      </c>
      <c r="GE50" s="45">
        <v>1</v>
      </c>
      <c r="GF50" s="45">
        <v>1</v>
      </c>
      <c r="GG50" s="45">
        <v>1</v>
      </c>
      <c r="GH50" s="45">
        <v>1</v>
      </c>
      <c r="GI50" s="45">
        <v>0</v>
      </c>
      <c r="GJ50" s="45">
        <v>0</v>
      </c>
      <c r="GK50" s="45">
        <v>1</v>
      </c>
      <c r="GL50" s="45">
        <v>0</v>
      </c>
      <c r="GM50" s="45">
        <v>0</v>
      </c>
      <c r="GN50" s="45">
        <v>1</v>
      </c>
      <c r="GO50" s="45">
        <v>1</v>
      </c>
      <c r="GP50" s="45">
        <v>0</v>
      </c>
      <c r="GQ50" s="45">
        <v>1</v>
      </c>
      <c r="GR50" s="45">
        <v>1</v>
      </c>
      <c r="GS50" s="45">
        <v>1</v>
      </c>
      <c r="GT50" s="45">
        <v>1</v>
      </c>
      <c r="GU50" s="45">
        <v>1</v>
      </c>
      <c r="GV50" s="45">
        <v>0</v>
      </c>
      <c r="GW50" s="45">
        <v>0</v>
      </c>
      <c r="GX50" s="45">
        <v>0</v>
      </c>
      <c r="GY50" s="15">
        <v>0</v>
      </c>
      <c r="GZ50" s="15">
        <v>0</v>
      </c>
      <c r="HA50" s="45">
        <v>0</v>
      </c>
      <c r="HB50" s="45">
        <v>1</v>
      </c>
      <c r="HC50" s="45">
        <v>0</v>
      </c>
      <c r="HD50" s="45">
        <v>0</v>
      </c>
      <c r="HE50" s="15">
        <v>0</v>
      </c>
      <c r="HF50" s="15">
        <v>0</v>
      </c>
      <c r="HG50" s="45">
        <v>0</v>
      </c>
      <c r="HH50" s="45">
        <v>1</v>
      </c>
      <c r="HI50" s="45">
        <v>1</v>
      </c>
      <c r="HJ50" s="45">
        <v>1</v>
      </c>
      <c r="HK50" s="45">
        <v>0</v>
      </c>
      <c r="HL50" s="45">
        <v>0</v>
      </c>
      <c r="HM50" s="45"/>
      <c r="HN50" s="45">
        <v>0</v>
      </c>
      <c r="HO50" s="45">
        <v>1</v>
      </c>
      <c r="HP50" s="45">
        <v>0</v>
      </c>
      <c r="HQ50" s="45">
        <v>0</v>
      </c>
      <c r="HR50" s="45">
        <v>0</v>
      </c>
      <c r="HS50" s="45">
        <v>0</v>
      </c>
      <c r="HT50" s="45">
        <v>1</v>
      </c>
      <c r="HU50" s="45">
        <v>1</v>
      </c>
      <c r="HV50" s="45">
        <v>0</v>
      </c>
      <c r="HW50" s="45"/>
      <c r="HX50" s="45">
        <v>1</v>
      </c>
      <c r="HY50" s="44">
        <v>42445</v>
      </c>
      <c r="HZ50" s="45" t="s">
        <v>230</v>
      </c>
      <c r="IA50" s="45">
        <v>1</v>
      </c>
      <c r="IB50" s="45">
        <v>1</v>
      </c>
      <c r="IC50" s="45">
        <v>1</v>
      </c>
      <c r="ID50" s="45">
        <v>0</v>
      </c>
      <c r="IE50" s="45">
        <v>1</v>
      </c>
      <c r="IF50" s="45">
        <v>0</v>
      </c>
      <c r="IG50" s="45">
        <v>0</v>
      </c>
      <c r="IH50" s="45">
        <v>1</v>
      </c>
      <c r="II50" s="45">
        <v>1</v>
      </c>
      <c r="IJ50" s="45">
        <v>1</v>
      </c>
      <c r="IK50" s="45">
        <v>0</v>
      </c>
      <c r="IL50" s="45">
        <v>0</v>
      </c>
      <c r="IM50" s="45">
        <v>1</v>
      </c>
      <c r="IN50" s="45">
        <v>0</v>
      </c>
      <c r="IO50" s="45">
        <v>0</v>
      </c>
      <c r="IP50" s="45">
        <v>0</v>
      </c>
      <c r="IQ50" s="45">
        <v>0</v>
      </c>
      <c r="IR50" s="45">
        <v>0</v>
      </c>
      <c r="IS50" s="45">
        <v>1</v>
      </c>
      <c r="IT50" s="45">
        <v>0</v>
      </c>
      <c r="IU50" s="45">
        <v>0</v>
      </c>
      <c r="IV50" s="45">
        <v>1</v>
      </c>
      <c r="IW50" s="45">
        <v>1</v>
      </c>
      <c r="IX50" s="45">
        <v>1</v>
      </c>
      <c r="IY50" s="45">
        <v>0</v>
      </c>
      <c r="IZ50" s="45">
        <v>1</v>
      </c>
      <c r="JA50" s="45">
        <v>1</v>
      </c>
      <c r="JB50" s="45">
        <v>1</v>
      </c>
      <c r="JC50" s="45">
        <v>1</v>
      </c>
      <c r="JD50" s="45">
        <v>0</v>
      </c>
      <c r="JE50" s="45">
        <v>0</v>
      </c>
      <c r="JF50" s="45">
        <v>0</v>
      </c>
      <c r="JG50" s="15">
        <v>0</v>
      </c>
      <c r="JH50" s="15">
        <v>0</v>
      </c>
      <c r="JI50" s="45">
        <v>0</v>
      </c>
      <c r="JJ50" s="45">
        <v>1</v>
      </c>
      <c r="JK50" s="45">
        <v>0</v>
      </c>
      <c r="JL50" s="45">
        <v>0</v>
      </c>
      <c r="JM50" s="15">
        <v>0</v>
      </c>
      <c r="JN50" s="15">
        <v>0</v>
      </c>
      <c r="JO50" s="45">
        <v>0</v>
      </c>
      <c r="JP50" s="45">
        <v>1</v>
      </c>
      <c r="JQ50" s="45">
        <v>1</v>
      </c>
      <c r="JR50" s="45">
        <v>1</v>
      </c>
      <c r="JS50" s="45">
        <v>0</v>
      </c>
      <c r="JT50" s="45">
        <v>1</v>
      </c>
      <c r="JU50" s="45">
        <v>0</v>
      </c>
      <c r="JV50" s="45">
        <v>1</v>
      </c>
      <c r="JW50" s="45">
        <v>1</v>
      </c>
      <c r="JX50" s="45">
        <v>0</v>
      </c>
      <c r="JY50" s="45">
        <v>0</v>
      </c>
      <c r="JZ50" s="45">
        <v>0</v>
      </c>
      <c r="KA50" s="45">
        <v>0</v>
      </c>
      <c r="KB50" s="45">
        <v>1</v>
      </c>
      <c r="KC50" s="45">
        <v>1</v>
      </c>
      <c r="KD50" s="45">
        <v>0</v>
      </c>
      <c r="KE50" s="45"/>
      <c r="KF50" s="45">
        <v>1</v>
      </c>
      <c r="KG50"/>
      <c r="KH50"/>
      <c r="KI50">
        <v>1</v>
      </c>
      <c r="KJ50">
        <v>1</v>
      </c>
      <c r="KK50">
        <v>1</v>
      </c>
      <c r="KL50">
        <v>0</v>
      </c>
      <c r="KM50">
        <v>1</v>
      </c>
      <c r="KN50">
        <v>0</v>
      </c>
      <c r="KO50">
        <v>0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0</v>
      </c>
      <c r="KZ50">
        <v>0</v>
      </c>
      <c r="LA50">
        <v>1</v>
      </c>
      <c r="LB50">
        <v>0</v>
      </c>
      <c r="LC50">
        <v>0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1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1</v>
      </c>
      <c r="LY50">
        <v>1</v>
      </c>
      <c r="LZ50">
        <v>1</v>
      </c>
      <c r="MA50">
        <v>0</v>
      </c>
      <c r="MB50">
        <v>1</v>
      </c>
      <c r="MC50">
        <v>0</v>
      </c>
      <c r="MD50">
        <v>1</v>
      </c>
      <c r="ME50">
        <v>1</v>
      </c>
      <c r="MF50">
        <v>0</v>
      </c>
      <c r="MG50">
        <v>0</v>
      </c>
      <c r="MH50">
        <v>0</v>
      </c>
      <c r="MI50">
        <v>0</v>
      </c>
      <c r="MJ50">
        <v>1</v>
      </c>
      <c r="MK50">
        <v>1</v>
      </c>
      <c r="ML50">
        <v>0</v>
      </c>
      <c r="MM50">
        <v>0</v>
      </c>
      <c r="MN50">
        <v>1</v>
      </c>
      <c r="MO50">
        <v>1</v>
      </c>
      <c r="MP50">
        <v>0</v>
      </c>
      <c r="MQ50">
        <v>1</v>
      </c>
      <c r="MR50">
        <v>1</v>
      </c>
      <c r="MS50">
        <v>1</v>
      </c>
      <c r="MT50">
        <v>1</v>
      </c>
    </row>
    <row r="51" spans="1:358" s="39" customFormat="1" ht="18" x14ac:dyDescent="0.25">
      <c r="A51" t="s">
        <v>443</v>
      </c>
      <c r="B51" s="40">
        <v>71</v>
      </c>
      <c r="C51" s="40">
        <v>1</v>
      </c>
      <c r="D51" s="40">
        <v>0</v>
      </c>
      <c r="E51" s="40"/>
      <c r="F51" s="55">
        <v>1196</v>
      </c>
      <c r="G51" s="55"/>
      <c r="H51" s="57">
        <v>0</v>
      </c>
      <c r="I51" s="57">
        <v>0</v>
      </c>
      <c r="J51" s="57"/>
      <c r="K51" s="40"/>
      <c r="L51" s="40"/>
      <c r="M51" s="40"/>
      <c r="N51" s="40">
        <v>0</v>
      </c>
      <c r="O51" s="42">
        <v>44383</v>
      </c>
      <c r="P51" s="64">
        <f t="shared" si="0"/>
        <v>1196</v>
      </c>
      <c r="Q51" s="39">
        <v>1</v>
      </c>
      <c r="R51" s="39">
        <v>0</v>
      </c>
      <c r="S51" s="39">
        <v>0</v>
      </c>
      <c r="T51" s="39">
        <v>77</v>
      </c>
      <c r="U51" s="39">
        <v>0</v>
      </c>
      <c r="V51" s="39">
        <v>0</v>
      </c>
      <c r="W51" s="39">
        <v>0</v>
      </c>
      <c r="X51" s="39">
        <v>0</v>
      </c>
      <c r="Y51" s="39">
        <v>0</v>
      </c>
      <c r="Z51" s="39">
        <v>0</v>
      </c>
      <c r="AA51" s="39">
        <v>0</v>
      </c>
      <c r="AB51" s="39">
        <v>0</v>
      </c>
      <c r="AC51" s="39">
        <v>1</v>
      </c>
      <c r="AD51" s="39">
        <v>0</v>
      </c>
      <c r="AE51" s="39">
        <v>0</v>
      </c>
      <c r="AF51" s="39">
        <v>0</v>
      </c>
      <c r="AG51" s="39">
        <v>0</v>
      </c>
      <c r="AH51" s="39">
        <v>0</v>
      </c>
      <c r="AI51" s="39">
        <v>0</v>
      </c>
      <c r="AJ51" s="39">
        <v>0</v>
      </c>
      <c r="AK51" s="39">
        <v>1</v>
      </c>
      <c r="AL51" s="39">
        <v>0</v>
      </c>
      <c r="AM51" s="39">
        <v>0</v>
      </c>
      <c r="AN51" s="39">
        <v>78</v>
      </c>
      <c r="AO51" s="39">
        <v>160</v>
      </c>
      <c r="AP51" s="39">
        <v>30.5</v>
      </c>
      <c r="AQ51" s="39">
        <v>38.1</v>
      </c>
      <c r="AR51" s="39">
        <v>126</v>
      </c>
      <c r="AS51" s="39">
        <v>57</v>
      </c>
      <c r="AT51" s="39">
        <v>1</v>
      </c>
      <c r="AU51">
        <v>0</v>
      </c>
      <c r="AV51" s="39">
        <v>91</v>
      </c>
      <c r="AW51" s="43">
        <v>43187</v>
      </c>
      <c r="AX51" s="43">
        <v>43187</v>
      </c>
      <c r="AY51" s="39">
        <v>1</v>
      </c>
      <c r="AZ51" s="43">
        <v>43187</v>
      </c>
      <c r="BA51" s="39">
        <v>1</v>
      </c>
      <c r="BB51" s="39">
        <v>0</v>
      </c>
      <c r="BC51" s="39">
        <v>0</v>
      </c>
      <c r="BD51" s="39">
        <v>0</v>
      </c>
      <c r="BE51" s="39">
        <v>0</v>
      </c>
      <c r="BF51" s="39">
        <v>0</v>
      </c>
      <c r="BG51" s="39">
        <v>0</v>
      </c>
      <c r="BH51" s="39">
        <v>0</v>
      </c>
      <c r="BI51" s="39">
        <v>0</v>
      </c>
      <c r="BJ51">
        <v>0</v>
      </c>
      <c r="BK51">
        <v>0</v>
      </c>
      <c r="BL51">
        <v>0</v>
      </c>
      <c r="BM51" s="66">
        <v>0</v>
      </c>
      <c r="BN51">
        <v>0</v>
      </c>
      <c r="BO51">
        <v>0</v>
      </c>
      <c r="BP51" s="66">
        <f t="shared" ref="BP51:BP57" si="22">BJ51+BK51+BL51+BM51+BN51+BO51</f>
        <v>0</v>
      </c>
      <c r="BQ51">
        <v>0</v>
      </c>
      <c r="BR51">
        <v>0</v>
      </c>
      <c r="BS51">
        <v>0</v>
      </c>
      <c r="BT51">
        <v>0</v>
      </c>
      <c r="BU51" s="66">
        <f t="shared" ref="BU51:BU57" si="23">BM51</f>
        <v>0</v>
      </c>
      <c r="BV51">
        <v>0</v>
      </c>
      <c r="BW51">
        <v>0</v>
      </c>
      <c r="BX51" s="66">
        <f t="shared" si="3"/>
        <v>0</v>
      </c>
      <c r="BY51">
        <v>0</v>
      </c>
      <c r="BZ51">
        <f t="shared" si="4"/>
        <v>0</v>
      </c>
      <c r="CA51" s="39">
        <v>0</v>
      </c>
      <c r="CB51" s="39">
        <v>0</v>
      </c>
      <c r="CC51" s="39">
        <v>1</v>
      </c>
      <c r="CD51" s="39">
        <v>0</v>
      </c>
      <c r="CE51" s="39">
        <v>0</v>
      </c>
      <c r="CF51" s="39">
        <v>1</v>
      </c>
      <c r="CG51" s="39">
        <v>0</v>
      </c>
      <c r="CH51" s="39">
        <v>0</v>
      </c>
      <c r="CI51" s="39">
        <v>0</v>
      </c>
      <c r="CJ51" s="39">
        <v>0</v>
      </c>
      <c r="CK51" s="39">
        <v>0</v>
      </c>
      <c r="CL51" s="39">
        <v>0</v>
      </c>
      <c r="CM51" s="39">
        <v>0</v>
      </c>
      <c r="CN51" s="39">
        <v>0</v>
      </c>
      <c r="CO51">
        <v>1</v>
      </c>
      <c r="CP51" s="39">
        <v>0</v>
      </c>
      <c r="CQ51" s="39">
        <v>0</v>
      </c>
      <c r="CR51" s="39">
        <v>0</v>
      </c>
      <c r="CS51" s="39">
        <v>0</v>
      </c>
      <c r="CT51" s="39">
        <v>0</v>
      </c>
      <c r="CU51" s="39">
        <v>0</v>
      </c>
      <c r="CV51" s="39">
        <v>0</v>
      </c>
      <c r="CW51" s="31"/>
      <c r="DA51" s="43">
        <v>43189</v>
      </c>
      <c r="DB51" s="66">
        <f t="shared" si="5"/>
        <v>2</v>
      </c>
      <c r="DC51" s="39" t="s">
        <v>4</v>
      </c>
      <c r="DD51" s="39">
        <v>0</v>
      </c>
      <c r="DE51" s="43">
        <v>43200</v>
      </c>
      <c r="DF51" s="39">
        <v>12</v>
      </c>
      <c r="DG51" s="43">
        <v>43189</v>
      </c>
      <c r="DH51" s="39">
        <v>13</v>
      </c>
      <c r="DI51" s="39">
        <v>5.9</v>
      </c>
      <c r="DJ51" s="39">
        <v>1.2</v>
      </c>
      <c r="DK51" s="80">
        <v>157</v>
      </c>
      <c r="DL51" s="39">
        <v>6</v>
      </c>
      <c r="DM51" s="39">
        <v>82</v>
      </c>
      <c r="DO51" s="39">
        <v>1</v>
      </c>
      <c r="DP51" s="39">
        <v>157</v>
      </c>
      <c r="DR51" s="39">
        <v>54</v>
      </c>
      <c r="DS51" s="39">
        <v>3.9</v>
      </c>
      <c r="DW51" s="43">
        <v>43187</v>
      </c>
      <c r="DX51" s="39">
        <v>15</v>
      </c>
      <c r="DY51" s="39">
        <v>7</v>
      </c>
      <c r="DZ51">
        <v>0</v>
      </c>
      <c r="EA51" s="39">
        <v>15</v>
      </c>
      <c r="EB51">
        <v>1</v>
      </c>
      <c r="EC51" s="39">
        <v>1</v>
      </c>
      <c r="ED51" s="39">
        <v>1</v>
      </c>
      <c r="EE51">
        <v>0</v>
      </c>
      <c r="EF51" s="39">
        <v>1</v>
      </c>
      <c r="EG51">
        <v>0</v>
      </c>
      <c r="EH51" s="39">
        <v>114</v>
      </c>
      <c r="EI51" s="62">
        <v>0.81578947368421095</v>
      </c>
      <c r="EJ51" s="39">
        <v>93</v>
      </c>
      <c r="EK51">
        <v>0</v>
      </c>
      <c r="EL51">
        <f t="shared" si="6"/>
        <v>-21</v>
      </c>
      <c r="EM51" s="39">
        <v>114</v>
      </c>
      <c r="EN51">
        <v>0</v>
      </c>
      <c r="ER51" s="39">
        <v>25</v>
      </c>
      <c r="ET51" s="39">
        <v>35</v>
      </c>
      <c r="EU51" s="39">
        <v>40</v>
      </c>
      <c r="EV51" s="39">
        <v>74</v>
      </c>
      <c r="EX51" s="39">
        <v>12</v>
      </c>
      <c r="EY51" s="39">
        <v>6</v>
      </c>
      <c r="FC51" s="39">
        <v>1</v>
      </c>
      <c r="FD51" s="39">
        <v>0</v>
      </c>
      <c r="FF51" s="39">
        <v>1</v>
      </c>
      <c r="FG51">
        <v>0</v>
      </c>
      <c r="FK51">
        <v>0</v>
      </c>
      <c r="FL51">
        <v>0</v>
      </c>
      <c r="FM51"/>
      <c r="FN51"/>
      <c r="FO51">
        <v>0</v>
      </c>
      <c r="FQ51" s="44">
        <v>43187</v>
      </c>
      <c r="FR51" s="44" t="s">
        <v>230</v>
      </c>
      <c r="FS51" s="45">
        <v>0</v>
      </c>
      <c r="FT51" s="45">
        <v>0</v>
      </c>
      <c r="FU51" s="45">
        <v>1</v>
      </c>
      <c r="FV51" s="45">
        <v>1</v>
      </c>
      <c r="FW51" s="45">
        <v>1</v>
      </c>
      <c r="FX51" s="45">
        <v>1</v>
      </c>
      <c r="FY51" s="45">
        <v>1</v>
      </c>
      <c r="FZ51" s="45">
        <v>1</v>
      </c>
      <c r="GA51" s="45">
        <v>1</v>
      </c>
      <c r="GB51" s="45">
        <v>1</v>
      </c>
      <c r="GC51" s="45">
        <v>1</v>
      </c>
      <c r="GD51" s="45">
        <v>1</v>
      </c>
      <c r="GE51" s="45">
        <v>0</v>
      </c>
      <c r="GF51" s="45">
        <v>0</v>
      </c>
      <c r="GG51" s="45">
        <v>0</v>
      </c>
      <c r="GH51" s="45">
        <v>0</v>
      </c>
      <c r="GI51" s="45">
        <v>0</v>
      </c>
      <c r="GJ51" s="45">
        <v>1</v>
      </c>
      <c r="GK51" s="45">
        <v>0</v>
      </c>
      <c r="GL51" s="45">
        <v>0</v>
      </c>
      <c r="GM51" s="45">
        <v>1</v>
      </c>
      <c r="GN51" s="45">
        <v>0</v>
      </c>
      <c r="GO51" s="45">
        <v>1</v>
      </c>
      <c r="GP51" s="45">
        <v>1</v>
      </c>
      <c r="GQ51" s="46" t="s">
        <v>235</v>
      </c>
      <c r="GR51" s="45">
        <v>1</v>
      </c>
      <c r="GS51" s="45">
        <v>1</v>
      </c>
      <c r="GT51" s="45">
        <v>0</v>
      </c>
      <c r="GU51" s="45">
        <v>0</v>
      </c>
      <c r="GV51" s="45">
        <v>1</v>
      </c>
      <c r="GW51" s="45">
        <v>0</v>
      </c>
      <c r="GX51" s="45" t="s">
        <v>232</v>
      </c>
      <c r="GY51" s="15">
        <v>0</v>
      </c>
      <c r="GZ51" s="15">
        <v>0</v>
      </c>
      <c r="HA51" s="45">
        <v>0</v>
      </c>
      <c r="HB51" s="45">
        <v>0</v>
      </c>
      <c r="HC51" s="45">
        <v>1</v>
      </c>
      <c r="HD51" s="45" t="s">
        <v>234</v>
      </c>
      <c r="HE51" s="45">
        <v>1</v>
      </c>
      <c r="HF51" s="45">
        <v>1</v>
      </c>
      <c r="HG51" s="45">
        <v>0</v>
      </c>
      <c r="HH51" s="45">
        <v>0</v>
      </c>
      <c r="HI51" s="45">
        <v>1</v>
      </c>
      <c r="HJ51" s="45">
        <v>0</v>
      </c>
      <c r="HK51" s="45">
        <v>0</v>
      </c>
      <c r="HL51" s="45">
        <v>0</v>
      </c>
      <c r="HM51" s="45"/>
      <c r="HN51" s="45">
        <v>0</v>
      </c>
      <c r="HO51" s="45">
        <v>1</v>
      </c>
      <c r="HP51" s="45">
        <v>0</v>
      </c>
      <c r="HQ51" s="45">
        <v>0</v>
      </c>
      <c r="HR51" s="45">
        <v>0</v>
      </c>
      <c r="HS51" s="45">
        <v>0</v>
      </c>
      <c r="HT51" s="45">
        <v>0</v>
      </c>
      <c r="HU51" s="45">
        <v>0</v>
      </c>
      <c r="HV51" s="45">
        <v>0</v>
      </c>
      <c r="HW51" s="45">
        <v>0</v>
      </c>
      <c r="HX51" s="45">
        <v>0</v>
      </c>
      <c r="HY51" s="44"/>
      <c r="HZ51" s="44"/>
      <c r="IA51" s="44"/>
      <c r="IB51" s="44"/>
      <c r="IC51" s="44"/>
      <c r="ID51" s="44"/>
      <c r="IE51" s="44"/>
      <c r="IF51" s="44"/>
      <c r="IG51" s="44"/>
      <c r="IH51" s="44"/>
      <c r="II51" s="44"/>
      <c r="IJ51" s="44"/>
      <c r="IK51" s="44"/>
      <c r="IL51" s="44"/>
      <c r="IM51" s="44"/>
      <c r="IN51" s="44"/>
      <c r="IO51" s="44"/>
      <c r="IP51" s="44"/>
      <c r="IQ51" s="44"/>
      <c r="IR51" s="44"/>
      <c r="IS51" s="44"/>
      <c r="IT51" s="44"/>
      <c r="IU51" s="44"/>
      <c r="IV51" s="44"/>
      <c r="IW51" s="44"/>
      <c r="IX51" s="44"/>
      <c r="IY51" s="44"/>
      <c r="IZ51" s="44"/>
      <c r="JA51" s="44"/>
      <c r="JB51" s="44"/>
      <c r="JC51" s="44"/>
      <c r="JD51" s="44"/>
      <c r="JE51" s="44"/>
      <c r="JF51" s="44"/>
      <c r="JG51" s="44"/>
      <c r="JH51" s="44"/>
      <c r="JI51" s="44"/>
      <c r="JJ51" s="44"/>
      <c r="JK51" s="44"/>
      <c r="JL51" s="44"/>
      <c r="JM51" s="44"/>
      <c r="JN51" s="44"/>
      <c r="JO51" s="44"/>
      <c r="JP51" s="44"/>
      <c r="JQ51" s="44"/>
      <c r="JR51" s="44"/>
      <c r="JS51" s="44"/>
      <c r="JT51" s="44"/>
      <c r="JU51" s="44"/>
      <c r="JV51" s="44"/>
      <c r="JW51" s="44"/>
      <c r="JX51" s="44"/>
      <c r="JY51" s="44"/>
      <c r="JZ51" s="44"/>
      <c r="KA51" s="44"/>
      <c r="KB51" s="44"/>
      <c r="KC51" s="44"/>
      <c r="KD51" s="44"/>
      <c r="KE51" s="44"/>
      <c r="KF51" s="44"/>
      <c r="KG51"/>
      <c r="KH51"/>
      <c r="KI51">
        <v>0</v>
      </c>
      <c r="KJ51">
        <v>0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1</v>
      </c>
      <c r="LA51">
        <v>0</v>
      </c>
      <c r="LB51">
        <v>0</v>
      </c>
      <c r="LC51">
        <v>1</v>
      </c>
      <c r="LD51">
        <v>0</v>
      </c>
      <c r="LE51">
        <v>1</v>
      </c>
      <c r="LF51">
        <v>1</v>
      </c>
      <c r="LG51"/>
      <c r="LH51">
        <v>1</v>
      </c>
      <c r="LI51">
        <v>1</v>
      </c>
      <c r="LJ51">
        <v>0</v>
      </c>
      <c r="LK51">
        <v>0</v>
      </c>
      <c r="LL51">
        <v>1</v>
      </c>
      <c r="LM51">
        <v>0</v>
      </c>
      <c r="LN51"/>
      <c r="LO51">
        <v>0</v>
      </c>
      <c r="LP51">
        <v>0</v>
      </c>
      <c r="LQ51">
        <v>0</v>
      </c>
      <c r="LR51">
        <v>0</v>
      </c>
      <c r="LS51">
        <v>1</v>
      </c>
      <c r="LT51"/>
      <c r="LU51">
        <v>1</v>
      </c>
      <c r="LV51">
        <v>1</v>
      </c>
      <c r="LW51">
        <v>0</v>
      </c>
      <c r="LX51">
        <v>0</v>
      </c>
      <c r="LY51">
        <v>1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1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f t="shared" si="10"/>
        <v>0</v>
      </c>
      <c r="MR51">
        <f t="shared" si="11"/>
        <v>0</v>
      </c>
    </row>
    <row r="52" spans="1:358" s="39" customFormat="1" ht="18" x14ac:dyDescent="0.25">
      <c r="A52" t="s">
        <v>444</v>
      </c>
      <c r="B52" s="40">
        <v>70</v>
      </c>
      <c r="C52" s="40">
        <v>0</v>
      </c>
      <c r="D52" s="40">
        <v>0</v>
      </c>
      <c r="E52" s="40"/>
      <c r="F52" s="55">
        <v>1720</v>
      </c>
      <c r="G52" s="55"/>
      <c r="H52" s="57">
        <v>0</v>
      </c>
      <c r="I52" s="57">
        <v>0</v>
      </c>
      <c r="J52" s="57"/>
      <c r="K52" s="40"/>
      <c r="L52" s="40"/>
      <c r="M52" s="40"/>
      <c r="N52" s="40">
        <v>0</v>
      </c>
      <c r="O52" s="42">
        <v>45037</v>
      </c>
      <c r="P52" s="64">
        <f t="shared" si="0"/>
        <v>1720</v>
      </c>
      <c r="Q52" s="39">
        <v>1</v>
      </c>
      <c r="R52" s="39">
        <v>1</v>
      </c>
      <c r="S52" s="39">
        <v>1</v>
      </c>
      <c r="T52" s="39">
        <v>94</v>
      </c>
      <c r="U52" s="39">
        <v>0</v>
      </c>
      <c r="V52" s="39">
        <v>1</v>
      </c>
      <c r="W52" s="39">
        <v>0</v>
      </c>
      <c r="X52" s="39">
        <v>0</v>
      </c>
      <c r="Y52" s="39">
        <v>0</v>
      </c>
      <c r="Z52" s="39">
        <v>1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  <c r="AH52" s="39">
        <v>0</v>
      </c>
      <c r="AI52" s="39">
        <v>0</v>
      </c>
      <c r="AJ52" s="39">
        <v>0</v>
      </c>
      <c r="AK52" s="39">
        <v>0</v>
      </c>
      <c r="AL52" s="39">
        <v>0</v>
      </c>
      <c r="AM52" s="39">
        <v>0</v>
      </c>
      <c r="AN52" s="39">
        <v>110</v>
      </c>
      <c r="AO52" s="39">
        <v>180</v>
      </c>
      <c r="AP52" s="39">
        <v>34</v>
      </c>
      <c r="AQ52" s="39">
        <v>36.200000000000003</v>
      </c>
      <c r="AR52" s="39">
        <v>179</v>
      </c>
      <c r="AS52" s="39">
        <v>97</v>
      </c>
      <c r="AT52" s="39">
        <v>3</v>
      </c>
      <c r="AU52">
        <v>1</v>
      </c>
      <c r="AV52" s="39">
        <v>89</v>
      </c>
      <c r="AW52" s="43">
        <v>43317</v>
      </c>
      <c r="AX52" s="43">
        <v>43317</v>
      </c>
      <c r="AY52" s="39">
        <v>1</v>
      </c>
      <c r="AZ52" s="43">
        <v>43317</v>
      </c>
      <c r="BA52" s="39">
        <v>1</v>
      </c>
      <c r="BB52" s="39">
        <v>1</v>
      </c>
      <c r="BC52" s="39">
        <v>0</v>
      </c>
      <c r="BD52" s="39">
        <v>0</v>
      </c>
      <c r="BE52" s="39">
        <v>0</v>
      </c>
      <c r="BF52" s="39">
        <v>0</v>
      </c>
      <c r="BG52" s="39">
        <v>0</v>
      </c>
      <c r="BH52" s="39">
        <v>1</v>
      </c>
      <c r="BI52" s="39">
        <v>0</v>
      </c>
      <c r="BJ52">
        <v>0</v>
      </c>
      <c r="BK52">
        <v>0</v>
      </c>
      <c r="BL52">
        <v>0</v>
      </c>
      <c r="BM52" s="66">
        <v>0</v>
      </c>
      <c r="BN52">
        <v>0</v>
      </c>
      <c r="BO52">
        <v>0</v>
      </c>
      <c r="BP52" s="66">
        <f t="shared" si="22"/>
        <v>0</v>
      </c>
      <c r="BQ52">
        <v>0</v>
      </c>
      <c r="BR52">
        <v>0</v>
      </c>
      <c r="BS52">
        <v>0</v>
      </c>
      <c r="BT52">
        <v>0</v>
      </c>
      <c r="BU52" s="66">
        <f t="shared" si="23"/>
        <v>0</v>
      </c>
      <c r="BV52">
        <v>0</v>
      </c>
      <c r="BW52">
        <v>0</v>
      </c>
      <c r="BX52" s="66">
        <f t="shared" si="3"/>
        <v>0</v>
      </c>
      <c r="BY52">
        <v>0</v>
      </c>
      <c r="BZ52">
        <f t="shared" si="4"/>
        <v>0</v>
      </c>
      <c r="CA52" s="39">
        <v>1</v>
      </c>
      <c r="CB52" s="39">
        <v>0</v>
      </c>
      <c r="CC52" s="39">
        <v>2</v>
      </c>
      <c r="CD52" s="39">
        <v>0</v>
      </c>
      <c r="CE52" s="39">
        <v>0</v>
      </c>
      <c r="CF52" s="39">
        <v>0</v>
      </c>
      <c r="CG52" s="39">
        <v>0</v>
      </c>
      <c r="CH52" s="39">
        <v>0</v>
      </c>
      <c r="CI52" s="39">
        <v>0</v>
      </c>
      <c r="CJ52" s="39">
        <v>0</v>
      </c>
      <c r="CK52" s="39">
        <v>0</v>
      </c>
      <c r="CL52" s="39">
        <v>0</v>
      </c>
      <c r="CM52" s="39">
        <v>0</v>
      </c>
      <c r="CN52" s="39">
        <v>0</v>
      </c>
      <c r="CO52">
        <f t="shared" si="7"/>
        <v>0</v>
      </c>
      <c r="CP52" s="39">
        <v>0</v>
      </c>
      <c r="CQ52" s="39">
        <v>0</v>
      </c>
      <c r="CR52" s="39">
        <v>0</v>
      </c>
      <c r="CS52" s="39">
        <v>0</v>
      </c>
      <c r="CT52" s="39">
        <v>0</v>
      </c>
      <c r="CU52" s="39">
        <v>0</v>
      </c>
      <c r="CV52" s="39">
        <v>0</v>
      </c>
      <c r="CW52" s="31"/>
      <c r="CX52" s="39">
        <v>1</v>
      </c>
      <c r="CY52">
        <v>0</v>
      </c>
      <c r="DA52" s="43">
        <v>43317</v>
      </c>
      <c r="DB52" s="66">
        <f t="shared" si="5"/>
        <v>0</v>
      </c>
      <c r="DC52" s="39" t="s">
        <v>1</v>
      </c>
      <c r="DD52" s="39">
        <v>0</v>
      </c>
      <c r="DE52" s="43">
        <v>43328</v>
      </c>
      <c r="DF52" s="39">
        <v>12</v>
      </c>
      <c r="DG52" s="43">
        <v>43317</v>
      </c>
      <c r="DH52" s="39">
        <v>16</v>
      </c>
      <c r="DI52" s="39">
        <v>27.9</v>
      </c>
      <c r="DJ52" s="39">
        <v>1.2</v>
      </c>
      <c r="DK52" s="80">
        <v>270</v>
      </c>
      <c r="DL52" s="39">
        <v>7</v>
      </c>
      <c r="DM52" s="39">
        <v>52</v>
      </c>
      <c r="DO52" s="39">
        <v>2</v>
      </c>
      <c r="DP52" s="39">
        <v>270</v>
      </c>
      <c r="DR52" s="39">
        <v>72</v>
      </c>
      <c r="DS52" s="39">
        <v>8.1</v>
      </c>
      <c r="DU52" s="39">
        <v>74</v>
      </c>
      <c r="DW52" s="43">
        <v>43317</v>
      </c>
      <c r="DX52" s="39">
        <v>31</v>
      </c>
      <c r="DY52" s="39">
        <v>28.3</v>
      </c>
      <c r="DZ52">
        <v>1</v>
      </c>
      <c r="EA52" s="39">
        <v>31</v>
      </c>
      <c r="EB52">
        <v>1</v>
      </c>
      <c r="EC52" s="39">
        <v>1</v>
      </c>
      <c r="ED52" s="39">
        <v>1</v>
      </c>
      <c r="EE52">
        <v>0</v>
      </c>
      <c r="EF52" s="39">
        <v>1.8</v>
      </c>
      <c r="EG52">
        <v>0</v>
      </c>
      <c r="EH52" s="39">
        <v>230</v>
      </c>
      <c r="EI52" s="62">
        <v>0.934782608695652</v>
      </c>
      <c r="EJ52" s="39">
        <v>215</v>
      </c>
      <c r="EK52" s="39">
        <v>1</v>
      </c>
      <c r="EL52">
        <f t="shared" si="6"/>
        <v>-15</v>
      </c>
      <c r="EM52" s="39">
        <v>230</v>
      </c>
      <c r="EN52" s="39">
        <v>1</v>
      </c>
      <c r="EO52" s="39">
        <v>0.34</v>
      </c>
      <c r="ER52" s="39">
        <v>22</v>
      </c>
      <c r="ET52" s="39">
        <v>22</v>
      </c>
      <c r="EU52" s="39">
        <v>12</v>
      </c>
      <c r="EV52" s="39">
        <v>66</v>
      </c>
      <c r="EW52" s="39">
        <v>98</v>
      </c>
      <c r="EX52" s="39">
        <v>25</v>
      </c>
      <c r="EY52" s="39">
        <v>14</v>
      </c>
      <c r="FC52" s="39">
        <v>1</v>
      </c>
      <c r="FD52" s="39">
        <v>0</v>
      </c>
      <c r="FF52" s="39">
        <v>1</v>
      </c>
      <c r="FG52">
        <v>0</v>
      </c>
      <c r="FK52">
        <v>0</v>
      </c>
      <c r="FL52">
        <v>0</v>
      </c>
      <c r="FM52"/>
      <c r="FN52"/>
      <c r="FO52">
        <v>0</v>
      </c>
      <c r="FQ52" s="44">
        <v>43317</v>
      </c>
      <c r="FR52" s="44" t="s">
        <v>230</v>
      </c>
      <c r="FS52" s="45">
        <v>0</v>
      </c>
      <c r="FT52" s="45">
        <v>1</v>
      </c>
      <c r="FU52" s="45">
        <v>1</v>
      </c>
      <c r="FV52" s="45">
        <v>0</v>
      </c>
      <c r="FW52" s="45">
        <v>1</v>
      </c>
      <c r="FX52" s="45">
        <v>1</v>
      </c>
      <c r="FY52" s="45">
        <v>1</v>
      </c>
      <c r="FZ52" s="45">
        <v>0</v>
      </c>
      <c r="GA52" s="45">
        <v>0</v>
      </c>
      <c r="GB52" s="45">
        <v>1</v>
      </c>
      <c r="GC52" s="45">
        <v>1</v>
      </c>
      <c r="GD52" s="45">
        <v>1</v>
      </c>
      <c r="GE52" s="45">
        <v>1</v>
      </c>
      <c r="GF52" s="45">
        <v>0</v>
      </c>
      <c r="GG52" s="45">
        <v>0</v>
      </c>
      <c r="GH52" s="45">
        <v>0</v>
      </c>
      <c r="GI52" s="45">
        <v>0</v>
      </c>
      <c r="GJ52" s="45">
        <v>0</v>
      </c>
      <c r="GK52" s="45">
        <v>1</v>
      </c>
      <c r="GL52" s="45">
        <v>0</v>
      </c>
      <c r="GM52" s="45">
        <v>0</v>
      </c>
      <c r="GN52" s="45">
        <v>1</v>
      </c>
      <c r="GO52" s="45">
        <v>1</v>
      </c>
      <c r="GP52" s="45">
        <v>1</v>
      </c>
      <c r="GQ52" s="45">
        <v>0</v>
      </c>
      <c r="GR52" s="45">
        <v>1</v>
      </c>
      <c r="GS52" s="45">
        <v>1</v>
      </c>
      <c r="GT52" s="45">
        <v>1</v>
      </c>
      <c r="GU52" s="45">
        <v>1</v>
      </c>
      <c r="GV52" s="45">
        <v>1</v>
      </c>
      <c r="GW52" s="45">
        <v>0</v>
      </c>
      <c r="GX52" s="45" t="s">
        <v>232</v>
      </c>
      <c r="GY52" s="15">
        <v>0</v>
      </c>
      <c r="GZ52" s="15">
        <v>0</v>
      </c>
      <c r="HA52" s="45">
        <v>0</v>
      </c>
      <c r="HB52" s="45">
        <v>1</v>
      </c>
      <c r="HC52" s="45">
        <v>0</v>
      </c>
      <c r="HD52" s="45">
        <v>0</v>
      </c>
      <c r="HE52" s="15">
        <v>0</v>
      </c>
      <c r="HF52" s="15">
        <v>0</v>
      </c>
      <c r="HG52" s="45">
        <v>0</v>
      </c>
      <c r="HH52" s="45">
        <v>0</v>
      </c>
      <c r="HI52" s="45">
        <v>1</v>
      </c>
      <c r="HJ52" s="45">
        <v>1</v>
      </c>
      <c r="HK52" s="45">
        <v>1</v>
      </c>
      <c r="HL52" s="45">
        <v>0</v>
      </c>
      <c r="HM52" s="45">
        <v>0</v>
      </c>
      <c r="HN52" s="45">
        <v>0</v>
      </c>
      <c r="HO52" s="45">
        <v>1</v>
      </c>
      <c r="HP52" s="45">
        <v>0</v>
      </c>
      <c r="HQ52" s="45">
        <v>0</v>
      </c>
      <c r="HR52" s="45">
        <v>0</v>
      </c>
      <c r="HS52" s="45">
        <v>0</v>
      </c>
      <c r="HT52" s="45">
        <v>1</v>
      </c>
      <c r="HU52" s="45">
        <v>1</v>
      </c>
      <c r="HV52" s="45">
        <v>0</v>
      </c>
      <c r="HW52" s="45">
        <v>1</v>
      </c>
      <c r="HX52" s="45">
        <v>0</v>
      </c>
      <c r="HY52" s="44">
        <v>43328</v>
      </c>
      <c r="HZ52" s="45" t="s">
        <v>231</v>
      </c>
      <c r="IA52" s="45">
        <v>0</v>
      </c>
      <c r="IB52" s="45">
        <v>0</v>
      </c>
      <c r="IC52" s="45">
        <v>1</v>
      </c>
      <c r="ID52" s="45">
        <v>0</v>
      </c>
      <c r="IE52" s="45">
        <v>1</v>
      </c>
      <c r="IF52" s="45">
        <v>1</v>
      </c>
      <c r="IG52" s="45">
        <v>1</v>
      </c>
      <c r="IH52" s="45">
        <v>0</v>
      </c>
      <c r="II52" s="45">
        <v>0</v>
      </c>
      <c r="IJ52" s="45">
        <v>1</v>
      </c>
      <c r="IK52" s="45">
        <v>1</v>
      </c>
      <c r="IL52" s="45">
        <v>1</v>
      </c>
      <c r="IM52" s="45">
        <v>1</v>
      </c>
      <c r="IN52" s="45">
        <v>0</v>
      </c>
      <c r="IO52" s="45">
        <v>0</v>
      </c>
      <c r="IP52" s="45">
        <v>0</v>
      </c>
      <c r="IQ52" s="45">
        <v>0</v>
      </c>
      <c r="IR52" s="45">
        <v>0</v>
      </c>
      <c r="IS52" s="45">
        <v>1</v>
      </c>
      <c r="IT52" s="45">
        <v>0</v>
      </c>
      <c r="IU52" s="45">
        <v>1</v>
      </c>
      <c r="IV52" s="45">
        <v>0</v>
      </c>
      <c r="IW52" s="45">
        <v>1</v>
      </c>
      <c r="IX52" s="45">
        <v>1</v>
      </c>
      <c r="IY52" s="45">
        <v>0</v>
      </c>
      <c r="IZ52" s="45">
        <v>1</v>
      </c>
      <c r="JA52" s="45">
        <v>0</v>
      </c>
      <c r="JB52" s="45">
        <v>1</v>
      </c>
      <c r="JC52" s="45">
        <v>1</v>
      </c>
      <c r="JD52" s="45">
        <v>1</v>
      </c>
      <c r="JE52" s="45">
        <v>0</v>
      </c>
      <c r="JF52" s="45" t="s">
        <v>232</v>
      </c>
      <c r="JG52" s="15">
        <v>0</v>
      </c>
      <c r="JH52" s="15">
        <v>0</v>
      </c>
      <c r="JI52" s="45">
        <v>0</v>
      </c>
      <c r="JJ52" s="45">
        <v>1</v>
      </c>
      <c r="JK52" s="45">
        <v>0</v>
      </c>
      <c r="JL52" s="45">
        <v>0</v>
      </c>
      <c r="JM52" s="15">
        <v>0</v>
      </c>
      <c r="JN52" s="15">
        <v>0</v>
      </c>
      <c r="JO52" s="45">
        <v>0</v>
      </c>
      <c r="JP52" s="45">
        <v>0</v>
      </c>
      <c r="JQ52" s="45">
        <v>1</v>
      </c>
      <c r="JR52" s="45">
        <v>1</v>
      </c>
      <c r="JS52" s="45">
        <v>0</v>
      </c>
      <c r="JT52" s="45">
        <v>1</v>
      </c>
      <c r="JU52" s="45"/>
      <c r="JV52" s="45">
        <v>0</v>
      </c>
      <c r="JW52" s="45">
        <v>1</v>
      </c>
      <c r="JX52" s="45">
        <v>0</v>
      </c>
      <c r="JY52" s="45">
        <v>0</v>
      </c>
      <c r="JZ52" s="45">
        <v>0</v>
      </c>
      <c r="KA52" s="45">
        <v>0</v>
      </c>
      <c r="KB52" s="45">
        <v>1</v>
      </c>
      <c r="KC52" s="45">
        <v>1</v>
      </c>
      <c r="KD52" s="45">
        <v>0</v>
      </c>
      <c r="KE52" s="45">
        <v>1</v>
      </c>
      <c r="KF52" s="45">
        <v>0</v>
      </c>
      <c r="KG52"/>
      <c r="KH52"/>
      <c r="KI52">
        <v>0</v>
      </c>
      <c r="KJ52">
        <v>1</v>
      </c>
      <c r="KK52">
        <v>1</v>
      </c>
      <c r="KL52">
        <v>0</v>
      </c>
      <c r="KM52">
        <v>1</v>
      </c>
      <c r="KN52">
        <v>1</v>
      </c>
      <c r="KO52">
        <v>1</v>
      </c>
      <c r="KP52">
        <v>0</v>
      </c>
      <c r="KQ52">
        <v>0</v>
      </c>
      <c r="KR52">
        <v>1</v>
      </c>
      <c r="KS52">
        <v>1</v>
      </c>
      <c r="KT52">
        <v>1</v>
      </c>
      <c r="KU52">
        <v>1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1</v>
      </c>
      <c r="LB52">
        <v>0</v>
      </c>
      <c r="LC52">
        <v>1</v>
      </c>
      <c r="LD52">
        <v>1</v>
      </c>
      <c r="LE52">
        <v>1</v>
      </c>
      <c r="LF52">
        <v>1</v>
      </c>
      <c r="LG52">
        <v>0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0</v>
      </c>
      <c r="LN52"/>
      <c r="LO52">
        <v>0</v>
      </c>
      <c r="LP52">
        <v>0</v>
      </c>
      <c r="LQ52">
        <v>0</v>
      </c>
      <c r="LR52">
        <v>1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1</v>
      </c>
      <c r="LZ52">
        <v>1</v>
      </c>
      <c r="MA52">
        <v>1</v>
      </c>
      <c r="MB52">
        <v>1</v>
      </c>
      <c r="MC52">
        <v>0</v>
      </c>
      <c r="MD52">
        <v>0</v>
      </c>
      <c r="ME52">
        <v>1</v>
      </c>
      <c r="MF52">
        <v>0</v>
      </c>
      <c r="MG52">
        <v>0</v>
      </c>
      <c r="MH52">
        <v>0</v>
      </c>
      <c r="MI52">
        <v>0</v>
      </c>
      <c r="MJ52">
        <v>1</v>
      </c>
      <c r="MK52">
        <v>1</v>
      </c>
      <c r="ML52">
        <v>0</v>
      </c>
      <c r="MM52">
        <v>1</v>
      </c>
      <c r="MN52">
        <v>0</v>
      </c>
      <c r="MO52">
        <v>1</v>
      </c>
      <c r="MP52">
        <v>0</v>
      </c>
      <c r="MQ52">
        <v>1</v>
      </c>
      <c r="MR52">
        <v>1</v>
      </c>
      <c r="MS52">
        <v>1</v>
      </c>
    </row>
    <row r="53" spans="1:358" s="39" customFormat="1" ht="18" x14ac:dyDescent="0.25">
      <c r="A53" t="s">
        <v>445</v>
      </c>
      <c r="B53" s="40">
        <v>55</v>
      </c>
      <c r="C53" s="40">
        <v>0</v>
      </c>
      <c r="D53" s="40">
        <v>0</v>
      </c>
      <c r="E53" s="40"/>
      <c r="F53" s="55">
        <v>1441</v>
      </c>
      <c r="G53" s="55"/>
      <c r="H53" s="57">
        <v>0</v>
      </c>
      <c r="I53" s="57">
        <v>0</v>
      </c>
      <c r="J53" s="57"/>
      <c r="K53" s="40"/>
      <c r="L53" s="40"/>
      <c r="M53" s="40"/>
      <c r="N53" s="40">
        <v>0</v>
      </c>
      <c r="O53" s="42">
        <v>45027</v>
      </c>
      <c r="P53" s="64">
        <f t="shared" si="0"/>
        <v>1441</v>
      </c>
      <c r="Q53" s="39">
        <v>3</v>
      </c>
      <c r="R53" s="39">
        <v>1</v>
      </c>
      <c r="S53" s="39">
        <v>0</v>
      </c>
      <c r="T53" s="39">
        <v>78</v>
      </c>
      <c r="U53" s="39">
        <v>1</v>
      </c>
      <c r="V53" s="39">
        <v>1</v>
      </c>
      <c r="W53" s="39">
        <v>0</v>
      </c>
      <c r="X53" s="39">
        <v>0</v>
      </c>
      <c r="Y53" s="39">
        <v>0</v>
      </c>
      <c r="Z53" s="39">
        <v>1</v>
      </c>
      <c r="AA53" s="39">
        <v>0</v>
      </c>
      <c r="AB53" s="39">
        <v>0</v>
      </c>
      <c r="AC53" s="39">
        <v>0</v>
      </c>
      <c r="AD53" s="39">
        <v>0</v>
      </c>
      <c r="AE53" s="39">
        <v>0</v>
      </c>
      <c r="AF53" s="39">
        <v>0</v>
      </c>
      <c r="AG53" s="39">
        <v>0</v>
      </c>
      <c r="AH53" s="39">
        <v>0</v>
      </c>
      <c r="AI53" s="39">
        <v>0</v>
      </c>
      <c r="AJ53" s="39">
        <v>0</v>
      </c>
      <c r="AK53" s="39">
        <v>0</v>
      </c>
      <c r="AL53" s="39">
        <v>0</v>
      </c>
      <c r="AM53" s="39">
        <v>0</v>
      </c>
      <c r="AN53" s="39">
        <v>77</v>
      </c>
      <c r="AO53" s="39">
        <v>182</v>
      </c>
      <c r="AP53" s="39">
        <v>23.2</v>
      </c>
      <c r="AQ53" s="39">
        <v>37.700000000000003</v>
      </c>
      <c r="AR53" s="39">
        <v>138</v>
      </c>
      <c r="AS53" s="39">
        <v>89</v>
      </c>
      <c r="AT53" s="39">
        <v>2</v>
      </c>
      <c r="AU53">
        <v>0</v>
      </c>
      <c r="AV53" s="39">
        <v>85</v>
      </c>
      <c r="AW53" s="43">
        <v>43586</v>
      </c>
      <c r="AX53" s="43">
        <v>43586</v>
      </c>
      <c r="AY53" s="39">
        <v>1</v>
      </c>
      <c r="AZ53" s="43">
        <v>43586</v>
      </c>
      <c r="BA53" s="39">
        <v>1</v>
      </c>
      <c r="BB53" s="39">
        <v>0</v>
      </c>
      <c r="BC53" s="39">
        <v>0</v>
      </c>
      <c r="BD53" s="39">
        <v>1</v>
      </c>
      <c r="BE53" s="39">
        <v>0</v>
      </c>
      <c r="BF53" s="39">
        <v>0</v>
      </c>
      <c r="BG53" s="39">
        <v>0</v>
      </c>
      <c r="BH53" s="39">
        <v>0</v>
      </c>
      <c r="BI53" s="39">
        <v>1</v>
      </c>
      <c r="BJ53">
        <v>0</v>
      </c>
      <c r="BK53">
        <v>0</v>
      </c>
      <c r="BL53">
        <v>0</v>
      </c>
      <c r="BM53" s="66">
        <v>0</v>
      </c>
      <c r="BN53">
        <v>0</v>
      </c>
      <c r="BO53">
        <v>0</v>
      </c>
      <c r="BP53" s="66">
        <f t="shared" si="22"/>
        <v>0</v>
      </c>
      <c r="BQ53">
        <v>0</v>
      </c>
      <c r="BR53">
        <v>0</v>
      </c>
      <c r="BS53">
        <v>0</v>
      </c>
      <c r="BT53">
        <v>0</v>
      </c>
      <c r="BU53" s="66">
        <f t="shared" si="23"/>
        <v>0</v>
      </c>
      <c r="BV53">
        <v>0</v>
      </c>
      <c r="BW53">
        <v>0</v>
      </c>
      <c r="BX53" s="66">
        <f t="shared" si="3"/>
        <v>0</v>
      </c>
      <c r="BY53">
        <v>0</v>
      </c>
      <c r="BZ53">
        <f t="shared" si="4"/>
        <v>0</v>
      </c>
      <c r="CA53" s="39">
        <v>0</v>
      </c>
      <c r="CB53" s="39">
        <v>0</v>
      </c>
      <c r="CC53" s="39">
        <v>4</v>
      </c>
      <c r="CD53" s="39">
        <v>0</v>
      </c>
      <c r="CE53" s="39">
        <v>0</v>
      </c>
      <c r="CF53" s="39">
        <v>0</v>
      </c>
      <c r="CG53" s="39">
        <v>0</v>
      </c>
      <c r="CH53" s="39">
        <v>0</v>
      </c>
      <c r="CI53" s="39">
        <v>0</v>
      </c>
      <c r="CJ53" s="39">
        <v>0</v>
      </c>
      <c r="CK53" s="39">
        <v>0</v>
      </c>
      <c r="CL53" s="39">
        <v>0</v>
      </c>
      <c r="CM53" s="39">
        <v>0</v>
      </c>
      <c r="CN53" s="39">
        <v>0</v>
      </c>
      <c r="CO53">
        <f t="shared" si="7"/>
        <v>0</v>
      </c>
      <c r="CP53" s="39">
        <v>1</v>
      </c>
      <c r="CQ53" s="39">
        <v>0</v>
      </c>
      <c r="CR53" s="39">
        <v>0</v>
      </c>
      <c r="CS53" s="39">
        <v>0</v>
      </c>
      <c r="CT53" s="39">
        <v>0</v>
      </c>
      <c r="CU53" s="39">
        <v>1</v>
      </c>
      <c r="CV53" s="39">
        <v>0</v>
      </c>
      <c r="CW53" s="31"/>
      <c r="CX53" s="39">
        <v>1</v>
      </c>
      <c r="CY53">
        <v>0</v>
      </c>
      <c r="DA53" s="43">
        <v>43586</v>
      </c>
      <c r="DB53" s="66">
        <f t="shared" si="5"/>
        <v>0</v>
      </c>
      <c r="DC53" s="39" t="s">
        <v>1</v>
      </c>
      <c r="DD53" s="39">
        <v>0</v>
      </c>
      <c r="DE53" s="43">
        <v>43598</v>
      </c>
      <c r="DF53" s="39">
        <v>13</v>
      </c>
      <c r="DG53" s="43">
        <v>43586</v>
      </c>
      <c r="DH53" s="39">
        <v>13</v>
      </c>
      <c r="DI53" s="39">
        <v>6</v>
      </c>
      <c r="DJ53" s="39">
        <v>1.2</v>
      </c>
      <c r="DK53" s="80">
        <v>197</v>
      </c>
      <c r="DL53" s="39">
        <v>5</v>
      </c>
      <c r="DM53" s="39">
        <v>80</v>
      </c>
      <c r="DO53" s="39">
        <v>2</v>
      </c>
      <c r="DP53" s="39">
        <v>197</v>
      </c>
      <c r="DR53" s="39">
        <v>94</v>
      </c>
      <c r="DS53" s="39">
        <v>5.3</v>
      </c>
      <c r="DU53" s="39">
        <v>163</v>
      </c>
      <c r="DW53" s="43">
        <v>43586</v>
      </c>
      <c r="DX53" s="39">
        <v>8</v>
      </c>
      <c r="DY53" s="39">
        <v>6.4</v>
      </c>
      <c r="DZ53">
        <v>0</v>
      </c>
      <c r="EA53" s="39">
        <v>8</v>
      </c>
      <c r="EB53">
        <v>0</v>
      </c>
      <c r="EC53" s="39">
        <v>1.5</v>
      </c>
      <c r="ED53" s="39">
        <v>0.86</v>
      </c>
      <c r="EE53">
        <v>0</v>
      </c>
      <c r="EF53" s="39">
        <v>1.5</v>
      </c>
      <c r="EG53">
        <v>0</v>
      </c>
      <c r="EH53" s="39">
        <v>191</v>
      </c>
      <c r="EI53" s="62">
        <v>1.6701570680628299</v>
      </c>
      <c r="EJ53" s="39">
        <v>319</v>
      </c>
      <c r="EK53" s="39">
        <v>1</v>
      </c>
      <c r="EL53">
        <f t="shared" si="6"/>
        <v>128</v>
      </c>
      <c r="EM53" s="39">
        <v>319</v>
      </c>
      <c r="EN53" s="39">
        <v>1</v>
      </c>
      <c r="EO53" s="39">
        <v>0.3</v>
      </c>
      <c r="ER53" s="39">
        <v>30</v>
      </c>
      <c r="ES53" s="39">
        <v>14</v>
      </c>
      <c r="ET53" s="39">
        <v>22</v>
      </c>
      <c r="EU53" s="39">
        <v>29</v>
      </c>
      <c r="EV53" s="39">
        <v>108</v>
      </c>
      <c r="EW53" s="39">
        <v>106</v>
      </c>
      <c r="EX53" s="39">
        <v>16</v>
      </c>
      <c r="EY53" s="39">
        <v>9</v>
      </c>
      <c r="FC53" s="39">
        <v>1</v>
      </c>
      <c r="FD53" s="39">
        <v>0</v>
      </c>
      <c r="FF53" s="39">
        <v>1</v>
      </c>
      <c r="FG53">
        <v>0</v>
      </c>
      <c r="FK53">
        <v>0</v>
      </c>
      <c r="FL53">
        <v>0</v>
      </c>
      <c r="FM53"/>
      <c r="FN53"/>
      <c r="FO53">
        <v>0</v>
      </c>
      <c r="FQ53" s="44">
        <v>43586</v>
      </c>
      <c r="FR53" s="44" t="s">
        <v>230</v>
      </c>
      <c r="FS53" s="45">
        <v>0</v>
      </c>
      <c r="FT53" s="45">
        <v>1</v>
      </c>
      <c r="FU53" s="45">
        <v>1</v>
      </c>
      <c r="FV53" s="45">
        <v>1</v>
      </c>
      <c r="FW53" s="45">
        <v>1</v>
      </c>
      <c r="FX53" s="45">
        <v>1</v>
      </c>
      <c r="FY53" s="45">
        <v>1</v>
      </c>
      <c r="FZ53" s="45">
        <v>0</v>
      </c>
      <c r="GA53" s="45">
        <v>1</v>
      </c>
      <c r="GB53" s="45">
        <v>1</v>
      </c>
      <c r="GC53" s="45">
        <v>1</v>
      </c>
      <c r="GD53" s="45">
        <v>1</v>
      </c>
      <c r="GE53" s="45">
        <v>1</v>
      </c>
      <c r="GF53" s="45">
        <v>1</v>
      </c>
      <c r="GG53" s="45">
        <v>1</v>
      </c>
      <c r="GH53" s="45">
        <v>1</v>
      </c>
      <c r="GI53" s="45">
        <v>0</v>
      </c>
      <c r="GJ53" s="45">
        <v>0</v>
      </c>
      <c r="GK53" s="45">
        <v>1</v>
      </c>
      <c r="GL53" s="45">
        <v>0</v>
      </c>
      <c r="GM53" s="45">
        <v>0</v>
      </c>
      <c r="GN53" s="45">
        <v>1</v>
      </c>
      <c r="GO53" s="45">
        <v>1</v>
      </c>
      <c r="GP53" s="45">
        <v>0</v>
      </c>
      <c r="GQ53" s="45">
        <v>1</v>
      </c>
      <c r="GR53" s="45">
        <v>1</v>
      </c>
      <c r="GS53" s="45">
        <v>1</v>
      </c>
      <c r="GT53" s="45">
        <v>0</v>
      </c>
      <c r="GU53" s="45">
        <v>1</v>
      </c>
      <c r="GV53" s="45">
        <v>0</v>
      </c>
      <c r="GW53" s="45">
        <v>0</v>
      </c>
      <c r="GX53" s="45">
        <v>0</v>
      </c>
      <c r="GY53" s="15">
        <v>0</v>
      </c>
      <c r="GZ53" s="15">
        <v>0</v>
      </c>
      <c r="HA53" s="45">
        <v>0</v>
      </c>
      <c r="HB53" s="45">
        <v>1</v>
      </c>
      <c r="HC53" s="45">
        <v>0</v>
      </c>
      <c r="HD53" s="45">
        <v>0</v>
      </c>
      <c r="HE53" s="15">
        <v>0</v>
      </c>
      <c r="HF53" s="15">
        <v>0</v>
      </c>
      <c r="HG53" s="45">
        <v>0</v>
      </c>
      <c r="HH53" s="45">
        <v>1</v>
      </c>
      <c r="HI53" s="45">
        <v>0</v>
      </c>
      <c r="HJ53" s="45">
        <v>0</v>
      </c>
      <c r="HK53" s="45">
        <v>0</v>
      </c>
      <c r="HL53" s="45">
        <v>0</v>
      </c>
      <c r="HM53" s="45"/>
      <c r="HN53" s="45">
        <v>0</v>
      </c>
      <c r="HO53" s="45">
        <v>1</v>
      </c>
      <c r="HP53" s="45">
        <v>0</v>
      </c>
      <c r="HQ53" s="45">
        <v>0</v>
      </c>
      <c r="HR53" s="45">
        <v>0</v>
      </c>
      <c r="HS53" s="45">
        <v>0</v>
      </c>
      <c r="HT53" s="45">
        <v>0</v>
      </c>
      <c r="HU53" s="45">
        <v>1</v>
      </c>
      <c r="HV53" s="45">
        <v>0</v>
      </c>
      <c r="HW53" s="45">
        <v>0</v>
      </c>
      <c r="HX53" s="45">
        <v>1</v>
      </c>
      <c r="HY53" s="44">
        <v>43588</v>
      </c>
      <c r="HZ53" s="45" t="s">
        <v>231</v>
      </c>
      <c r="IA53" s="45">
        <v>1</v>
      </c>
      <c r="IB53" s="45">
        <v>1</v>
      </c>
      <c r="IC53" s="45">
        <v>1</v>
      </c>
      <c r="ID53" s="45">
        <v>0</v>
      </c>
      <c r="IE53" s="45">
        <v>1</v>
      </c>
      <c r="IF53" s="45">
        <v>1</v>
      </c>
      <c r="IG53" s="45">
        <v>1</v>
      </c>
      <c r="IH53" s="45">
        <v>0</v>
      </c>
      <c r="II53" s="45">
        <v>1</v>
      </c>
      <c r="IJ53" s="45">
        <v>0</v>
      </c>
      <c r="IK53" s="45">
        <v>1</v>
      </c>
      <c r="IL53" s="45">
        <v>0</v>
      </c>
      <c r="IM53" s="45">
        <v>1</v>
      </c>
      <c r="IN53" s="45">
        <v>1</v>
      </c>
      <c r="IO53" s="45">
        <v>1</v>
      </c>
      <c r="IP53" s="45">
        <v>1</v>
      </c>
      <c r="IQ53" s="45">
        <v>0</v>
      </c>
      <c r="IR53" s="45">
        <v>0</v>
      </c>
      <c r="IS53" s="45">
        <v>1</v>
      </c>
      <c r="IT53" s="45">
        <v>0</v>
      </c>
      <c r="IU53" s="45">
        <v>0</v>
      </c>
      <c r="IV53" s="45">
        <v>1</v>
      </c>
      <c r="IW53" s="45">
        <v>1</v>
      </c>
      <c r="IX53" s="45">
        <v>0</v>
      </c>
      <c r="IY53" s="45">
        <v>1</v>
      </c>
      <c r="IZ53" s="45">
        <v>1</v>
      </c>
      <c r="JA53" s="45">
        <v>1</v>
      </c>
      <c r="JB53" s="45">
        <v>0</v>
      </c>
      <c r="JC53" s="45">
        <v>1</v>
      </c>
      <c r="JD53" s="45">
        <v>0</v>
      </c>
      <c r="JE53" s="45">
        <v>0</v>
      </c>
      <c r="JF53" s="45">
        <v>0</v>
      </c>
      <c r="JG53" s="15">
        <v>0</v>
      </c>
      <c r="JH53" s="15">
        <v>0</v>
      </c>
      <c r="JI53" s="45">
        <v>0</v>
      </c>
      <c r="JJ53" s="45">
        <v>1</v>
      </c>
      <c r="JK53" s="45">
        <v>0</v>
      </c>
      <c r="JL53" s="45">
        <v>0</v>
      </c>
      <c r="JM53" s="15">
        <v>0</v>
      </c>
      <c r="JN53" s="15">
        <v>0</v>
      </c>
      <c r="JO53" s="45">
        <v>0</v>
      </c>
      <c r="JP53" s="45">
        <v>0</v>
      </c>
      <c r="JQ53" s="45">
        <v>0</v>
      </c>
      <c r="JR53" s="45">
        <v>0</v>
      </c>
      <c r="JS53" s="45">
        <v>0</v>
      </c>
      <c r="JT53" s="45">
        <v>0</v>
      </c>
      <c r="JU53" s="45"/>
      <c r="JV53" s="45">
        <v>0</v>
      </c>
      <c r="JW53" s="45">
        <v>1</v>
      </c>
      <c r="JX53" s="45">
        <v>0</v>
      </c>
      <c r="JY53" s="45">
        <v>0</v>
      </c>
      <c r="JZ53" s="45">
        <v>0</v>
      </c>
      <c r="KA53" s="45">
        <v>0</v>
      </c>
      <c r="KB53" s="45">
        <v>0</v>
      </c>
      <c r="KC53" s="45">
        <v>1</v>
      </c>
      <c r="KD53" s="45">
        <v>0</v>
      </c>
      <c r="KE53" s="45">
        <v>0</v>
      </c>
      <c r="KF53" s="45">
        <v>1</v>
      </c>
      <c r="KG53"/>
      <c r="KH53"/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0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0</v>
      </c>
      <c r="KZ53">
        <v>0</v>
      </c>
      <c r="LA53">
        <v>1</v>
      </c>
      <c r="LB53">
        <v>0</v>
      </c>
      <c r="LC53">
        <v>0</v>
      </c>
      <c r="LD53">
        <v>1</v>
      </c>
      <c r="LE53">
        <v>1</v>
      </c>
      <c r="LF53">
        <v>0</v>
      </c>
      <c r="LG53">
        <v>1</v>
      </c>
      <c r="LH53">
        <v>1</v>
      </c>
      <c r="LI53">
        <v>1</v>
      </c>
      <c r="LJ53">
        <v>0</v>
      </c>
      <c r="LK53">
        <v>1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1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1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1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1</v>
      </c>
      <c r="ML53">
        <v>0</v>
      </c>
      <c r="MM53">
        <v>0</v>
      </c>
      <c r="MN53">
        <v>1</v>
      </c>
      <c r="MO53">
        <v>0</v>
      </c>
      <c r="MP53">
        <v>0</v>
      </c>
      <c r="MQ53">
        <f t="shared" si="10"/>
        <v>0</v>
      </c>
      <c r="MR53">
        <f t="shared" si="11"/>
        <v>0</v>
      </c>
      <c r="MT53">
        <v>0</v>
      </c>
    </row>
    <row r="54" spans="1:358" ht="18" x14ac:dyDescent="0.25">
      <c r="A54" t="s">
        <v>446</v>
      </c>
      <c r="B54" s="3">
        <v>62</v>
      </c>
      <c r="C54" s="3">
        <v>0</v>
      </c>
      <c r="D54" s="3">
        <v>0</v>
      </c>
      <c r="E54" s="3"/>
      <c r="F54" s="55">
        <v>718</v>
      </c>
      <c r="G54" s="55"/>
      <c r="H54" s="57">
        <v>0</v>
      </c>
      <c r="I54" s="57">
        <v>0</v>
      </c>
      <c r="J54" s="57"/>
      <c r="K54" s="3"/>
      <c r="L54" s="3"/>
      <c r="M54" s="3"/>
      <c r="N54" s="3">
        <v>0</v>
      </c>
      <c r="O54" s="2">
        <v>44978</v>
      </c>
      <c r="P54" s="64">
        <f t="shared" si="0"/>
        <v>718</v>
      </c>
      <c r="Q54">
        <v>3</v>
      </c>
      <c r="R54">
        <v>1</v>
      </c>
      <c r="S54">
        <v>0</v>
      </c>
      <c r="T54">
        <v>95</v>
      </c>
      <c r="U54">
        <v>0</v>
      </c>
      <c r="V54">
        <v>1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98</v>
      </c>
      <c r="AO54">
        <v>178</v>
      </c>
      <c r="AP54">
        <v>30.9</v>
      </c>
      <c r="AQ54">
        <v>36.6</v>
      </c>
      <c r="AR54">
        <v>123</v>
      </c>
      <c r="AS54">
        <v>59</v>
      </c>
      <c r="AT54">
        <v>2</v>
      </c>
      <c r="AU54">
        <v>0</v>
      </c>
      <c r="AV54">
        <v>114</v>
      </c>
      <c r="AW54" s="1">
        <v>44260</v>
      </c>
      <c r="AX54" s="1">
        <v>44260</v>
      </c>
      <c r="AY54">
        <v>0</v>
      </c>
      <c r="AZ54" s="1">
        <v>44256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 s="66">
        <v>1</v>
      </c>
      <c r="BN54">
        <v>0</v>
      </c>
      <c r="BO54">
        <v>0</v>
      </c>
      <c r="BP54" s="66">
        <f t="shared" si="22"/>
        <v>1</v>
      </c>
      <c r="BQ54">
        <v>0</v>
      </c>
      <c r="BR54">
        <v>0</v>
      </c>
      <c r="BS54">
        <v>0</v>
      </c>
      <c r="BT54">
        <v>0</v>
      </c>
      <c r="BU54" s="66">
        <f t="shared" si="23"/>
        <v>1</v>
      </c>
      <c r="BV54">
        <v>0</v>
      </c>
      <c r="BW54">
        <v>0</v>
      </c>
      <c r="BX54" s="66">
        <f t="shared" si="3"/>
        <v>1</v>
      </c>
      <c r="BY54">
        <v>0</v>
      </c>
      <c r="BZ54">
        <f t="shared" si="4"/>
        <v>0</v>
      </c>
      <c r="CA54">
        <v>0</v>
      </c>
      <c r="CB54">
        <v>0</v>
      </c>
      <c r="CC54">
        <v>2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f t="shared" si="7"/>
        <v>0</v>
      </c>
      <c r="CP54">
        <v>0</v>
      </c>
      <c r="CQ54">
        <v>1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</v>
      </c>
      <c r="CY54">
        <v>0</v>
      </c>
      <c r="DA54" s="1">
        <v>44260</v>
      </c>
      <c r="DB54" s="66">
        <f t="shared" si="5"/>
        <v>4</v>
      </c>
      <c r="DC54" t="s">
        <v>1</v>
      </c>
      <c r="DD54">
        <v>0</v>
      </c>
      <c r="DE54" s="1">
        <v>44266</v>
      </c>
      <c r="DF54">
        <v>7</v>
      </c>
      <c r="DG54" s="1">
        <v>44260</v>
      </c>
      <c r="DH54">
        <v>10</v>
      </c>
      <c r="DI54">
        <v>7.7</v>
      </c>
      <c r="DJ54">
        <v>0.9</v>
      </c>
      <c r="DK54" s="66">
        <v>137</v>
      </c>
      <c r="DL54">
        <v>6</v>
      </c>
      <c r="DM54">
        <v>86</v>
      </c>
      <c r="DN54">
        <v>13371</v>
      </c>
      <c r="DO54">
        <v>2</v>
      </c>
      <c r="DP54">
        <v>137</v>
      </c>
      <c r="DQ54">
        <v>13371</v>
      </c>
      <c r="DR54">
        <v>67</v>
      </c>
      <c r="DS54">
        <v>3.8</v>
      </c>
      <c r="DU54">
        <v>166</v>
      </c>
      <c r="DW54" s="1">
        <v>44260</v>
      </c>
      <c r="DX54">
        <v>9</v>
      </c>
      <c r="DY54">
        <v>5</v>
      </c>
      <c r="DZ54">
        <v>0</v>
      </c>
      <c r="EA54">
        <v>9</v>
      </c>
      <c r="EB54">
        <v>0</v>
      </c>
      <c r="EC54">
        <v>1.3</v>
      </c>
      <c r="ED54">
        <f t="shared" ref="ED54:ED55" si="24">EF54</f>
        <v>1.3</v>
      </c>
      <c r="EE54">
        <v>0</v>
      </c>
      <c r="EF54">
        <v>1.3</v>
      </c>
      <c r="EG54">
        <v>0</v>
      </c>
      <c r="EH54">
        <v>124</v>
      </c>
      <c r="EI54" s="62">
        <v>0.241935483870968</v>
      </c>
      <c r="EJ54">
        <v>30</v>
      </c>
      <c r="EK54">
        <v>0</v>
      </c>
      <c r="EL54">
        <f t="shared" si="6"/>
        <v>-94</v>
      </c>
      <c r="EM54">
        <v>124</v>
      </c>
      <c r="EN54">
        <v>0</v>
      </c>
      <c r="EO54">
        <v>0</v>
      </c>
      <c r="ER54">
        <v>24</v>
      </c>
      <c r="ES54">
        <v>28</v>
      </c>
      <c r="ET54">
        <v>28</v>
      </c>
      <c r="EU54">
        <v>19</v>
      </c>
      <c r="EV54">
        <v>49</v>
      </c>
      <c r="EW54">
        <v>123</v>
      </c>
      <c r="EX54">
        <v>17</v>
      </c>
      <c r="EY54">
        <v>8</v>
      </c>
      <c r="FB54">
        <v>0</v>
      </c>
      <c r="FC54">
        <v>1</v>
      </c>
      <c r="FD54">
        <v>0</v>
      </c>
      <c r="FF54">
        <v>1</v>
      </c>
      <c r="FG54">
        <v>0</v>
      </c>
      <c r="FI54"/>
      <c r="FK54">
        <v>0</v>
      </c>
      <c r="FL54">
        <v>0</v>
      </c>
      <c r="FO54">
        <v>0</v>
      </c>
      <c r="FQ54" s="22">
        <v>44258</v>
      </c>
      <c r="FR54" s="25" t="s">
        <v>230</v>
      </c>
      <c r="FS54" s="15">
        <v>0</v>
      </c>
      <c r="FT54" s="15">
        <v>0</v>
      </c>
      <c r="FU54" s="15">
        <v>1</v>
      </c>
      <c r="FV54" s="15">
        <v>0</v>
      </c>
      <c r="FW54" s="15">
        <v>1</v>
      </c>
      <c r="FX54" s="15">
        <v>0</v>
      </c>
      <c r="FY54" s="15">
        <v>0</v>
      </c>
      <c r="FZ54" s="15">
        <v>0</v>
      </c>
      <c r="GA54" s="15">
        <v>0</v>
      </c>
      <c r="GB54" s="15">
        <v>1</v>
      </c>
      <c r="GC54" s="15">
        <v>0</v>
      </c>
      <c r="GD54" s="15">
        <v>1</v>
      </c>
      <c r="GE54" s="15">
        <v>0</v>
      </c>
      <c r="GF54" s="15">
        <v>0</v>
      </c>
      <c r="GG54" s="15">
        <v>0</v>
      </c>
      <c r="GH54" s="15">
        <v>0</v>
      </c>
      <c r="GI54" s="15">
        <v>1</v>
      </c>
      <c r="GJ54" s="15">
        <v>0</v>
      </c>
      <c r="GK54" s="15">
        <v>0</v>
      </c>
      <c r="GL54" s="15">
        <v>1</v>
      </c>
      <c r="GM54" s="15">
        <v>0</v>
      </c>
      <c r="GN54" s="15">
        <v>0</v>
      </c>
      <c r="GO54" s="15">
        <v>0</v>
      </c>
      <c r="GP54" s="15">
        <v>0</v>
      </c>
      <c r="GQ54" s="15">
        <v>0</v>
      </c>
      <c r="GR54" s="15">
        <v>0</v>
      </c>
      <c r="GS54" s="15">
        <v>0</v>
      </c>
      <c r="GT54" s="15">
        <v>0</v>
      </c>
      <c r="GU54" s="15">
        <v>1</v>
      </c>
      <c r="GV54" s="15">
        <v>0</v>
      </c>
      <c r="GW54" s="15">
        <v>0</v>
      </c>
      <c r="GX54" s="15">
        <v>0</v>
      </c>
      <c r="GY54" s="15">
        <v>0</v>
      </c>
      <c r="GZ54" s="15">
        <v>0</v>
      </c>
      <c r="HA54" s="15">
        <v>0</v>
      </c>
      <c r="HB54" s="15">
        <v>1</v>
      </c>
      <c r="HC54" s="15">
        <v>0</v>
      </c>
      <c r="HD54" s="15">
        <v>0</v>
      </c>
      <c r="HE54" s="15">
        <v>0</v>
      </c>
      <c r="HF54" s="15">
        <v>0</v>
      </c>
      <c r="HG54" s="15">
        <v>0</v>
      </c>
      <c r="HH54" s="15">
        <v>1</v>
      </c>
      <c r="HI54" s="15">
        <v>1</v>
      </c>
      <c r="HJ54" s="15">
        <v>1</v>
      </c>
      <c r="HK54" s="15">
        <v>0</v>
      </c>
      <c r="HL54" s="15">
        <v>1</v>
      </c>
      <c r="HM54" s="15"/>
      <c r="HN54" s="15">
        <v>0</v>
      </c>
      <c r="HO54" s="15">
        <v>1</v>
      </c>
      <c r="HP54" s="15">
        <v>0</v>
      </c>
      <c r="HQ54" s="15">
        <v>0</v>
      </c>
      <c r="HR54" s="15">
        <v>0</v>
      </c>
      <c r="HS54" s="15">
        <v>0</v>
      </c>
      <c r="HT54" s="15">
        <v>1</v>
      </c>
      <c r="HU54" s="15">
        <v>1</v>
      </c>
      <c r="HV54" s="15">
        <v>0</v>
      </c>
      <c r="HW54" s="15">
        <v>0</v>
      </c>
      <c r="HX54" s="15">
        <v>0</v>
      </c>
      <c r="HY54" s="22">
        <v>44263</v>
      </c>
      <c r="HZ54" s="15" t="s">
        <v>231</v>
      </c>
      <c r="IA54" s="15">
        <v>0</v>
      </c>
      <c r="IB54" s="15">
        <v>0</v>
      </c>
      <c r="IC54" s="15">
        <v>1</v>
      </c>
      <c r="ID54" s="15">
        <v>0</v>
      </c>
      <c r="IE54" s="15">
        <v>1</v>
      </c>
      <c r="IF54" s="15">
        <v>0</v>
      </c>
      <c r="IG54" s="15">
        <v>0</v>
      </c>
      <c r="IH54" s="15">
        <v>0</v>
      </c>
      <c r="II54" s="15">
        <v>0</v>
      </c>
      <c r="IJ54" s="15">
        <v>1</v>
      </c>
      <c r="IK54" s="15">
        <v>0</v>
      </c>
      <c r="IL54" s="15">
        <v>1</v>
      </c>
      <c r="IM54" s="15">
        <v>0</v>
      </c>
      <c r="IN54" s="15">
        <v>0</v>
      </c>
      <c r="IO54" s="15">
        <v>0</v>
      </c>
      <c r="IP54" s="15">
        <v>0</v>
      </c>
      <c r="IQ54" s="15">
        <v>1</v>
      </c>
      <c r="IR54" s="15">
        <v>0</v>
      </c>
      <c r="IS54" s="15">
        <v>0</v>
      </c>
      <c r="IT54" s="15">
        <v>1</v>
      </c>
      <c r="IU54" s="15">
        <v>0</v>
      </c>
      <c r="IV54" s="15">
        <v>0</v>
      </c>
      <c r="IW54" s="15">
        <v>0</v>
      </c>
      <c r="IX54" s="15">
        <v>0</v>
      </c>
      <c r="IY54" s="15">
        <v>0</v>
      </c>
      <c r="IZ54" s="15">
        <v>0</v>
      </c>
      <c r="JA54" s="15">
        <v>0</v>
      </c>
      <c r="JB54" s="15">
        <v>0</v>
      </c>
      <c r="JC54" s="15">
        <v>1</v>
      </c>
      <c r="JD54" s="15">
        <v>0</v>
      </c>
      <c r="JE54" s="15">
        <v>0</v>
      </c>
      <c r="JF54" s="15">
        <v>0</v>
      </c>
      <c r="JG54" s="15">
        <v>0</v>
      </c>
      <c r="JH54" s="15">
        <v>0</v>
      </c>
      <c r="JI54" s="15">
        <v>0</v>
      </c>
      <c r="JJ54" s="15">
        <v>1</v>
      </c>
      <c r="JK54" s="15">
        <v>0</v>
      </c>
      <c r="JL54" s="15">
        <v>0</v>
      </c>
      <c r="JM54" s="15">
        <v>0</v>
      </c>
      <c r="JN54" s="15">
        <v>0</v>
      </c>
      <c r="JO54" s="15">
        <v>0</v>
      </c>
      <c r="JP54" s="15">
        <v>0</v>
      </c>
      <c r="JQ54" s="15">
        <v>1</v>
      </c>
      <c r="JR54" s="15">
        <v>0</v>
      </c>
      <c r="JS54" s="15">
        <v>0</v>
      </c>
      <c r="JT54" s="15">
        <v>1</v>
      </c>
      <c r="JU54" s="15"/>
      <c r="JV54" s="15">
        <v>0</v>
      </c>
      <c r="JW54" s="15">
        <v>1</v>
      </c>
      <c r="JX54" s="15">
        <v>0</v>
      </c>
      <c r="JY54" s="15">
        <v>0</v>
      </c>
      <c r="JZ54" s="15">
        <v>0</v>
      </c>
      <c r="KA54" s="15">
        <v>0</v>
      </c>
      <c r="KB54" s="15">
        <v>0</v>
      </c>
      <c r="KC54" s="15">
        <v>1</v>
      </c>
      <c r="KD54" s="15">
        <v>0</v>
      </c>
      <c r="KE54" s="15">
        <v>0</v>
      </c>
      <c r="KF54" s="15">
        <v>0</v>
      </c>
      <c r="KI54">
        <v>0</v>
      </c>
      <c r="KJ54">
        <v>0</v>
      </c>
      <c r="KK54">
        <v>1</v>
      </c>
      <c r="KL54">
        <v>0</v>
      </c>
      <c r="KM54">
        <v>1</v>
      </c>
      <c r="KN54">
        <v>0</v>
      </c>
      <c r="KO54">
        <v>0</v>
      </c>
      <c r="KP54">
        <v>0</v>
      </c>
      <c r="KQ54">
        <v>0</v>
      </c>
      <c r="KR54">
        <v>1</v>
      </c>
      <c r="KS54">
        <v>0</v>
      </c>
      <c r="KT54">
        <v>1</v>
      </c>
      <c r="KU54">
        <v>0</v>
      </c>
      <c r="KV54">
        <v>0</v>
      </c>
      <c r="KW54">
        <v>0</v>
      </c>
      <c r="KX54">
        <v>0</v>
      </c>
      <c r="KY54">
        <v>1</v>
      </c>
      <c r="KZ54">
        <v>0</v>
      </c>
      <c r="LA54">
        <v>0</v>
      </c>
      <c r="LB54">
        <v>1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1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1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1</v>
      </c>
      <c r="LY54">
        <v>1</v>
      </c>
      <c r="LZ54">
        <v>1</v>
      </c>
      <c r="MA54">
        <v>0</v>
      </c>
      <c r="MB54">
        <v>1</v>
      </c>
      <c r="MC54">
        <v>0</v>
      </c>
      <c r="MD54">
        <v>0</v>
      </c>
      <c r="ME54">
        <v>1</v>
      </c>
      <c r="MF54">
        <v>0</v>
      </c>
      <c r="MG54">
        <v>0</v>
      </c>
      <c r="MH54">
        <v>0</v>
      </c>
      <c r="MI54">
        <v>0</v>
      </c>
      <c r="MJ54">
        <v>1</v>
      </c>
      <c r="MK54">
        <v>1</v>
      </c>
      <c r="ML54">
        <v>0</v>
      </c>
      <c r="MM54">
        <v>0</v>
      </c>
      <c r="MN54">
        <v>0</v>
      </c>
      <c r="MO54">
        <v>1</v>
      </c>
      <c r="MP54">
        <v>0</v>
      </c>
      <c r="MQ54">
        <v>1</v>
      </c>
      <c r="MR54">
        <v>1</v>
      </c>
      <c r="MS54">
        <v>0</v>
      </c>
      <c r="MT54">
        <v>0</v>
      </c>
    </row>
    <row r="55" spans="1:358" s="39" customFormat="1" ht="18" x14ac:dyDescent="0.25">
      <c r="A55" t="s">
        <v>447</v>
      </c>
      <c r="B55" s="40">
        <v>48</v>
      </c>
      <c r="C55" s="40">
        <v>1</v>
      </c>
      <c r="D55" s="40">
        <v>1</v>
      </c>
      <c r="E55" s="41">
        <v>43594</v>
      </c>
      <c r="F55" s="61">
        <v>0</v>
      </c>
      <c r="G55" s="61"/>
      <c r="H55" s="58">
        <v>0</v>
      </c>
      <c r="I55" s="58"/>
      <c r="J55" s="58"/>
      <c r="K55" s="42">
        <v>43594</v>
      </c>
      <c r="L55" s="65">
        <v>1</v>
      </c>
      <c r="M55" s="42">
        <v>43733</v>
      </c>
      <c r="N55" s="40">
        <v>0</v>
      </c>
      <c r="O55" s="42">
        <v>44474</v>
      </c>
      <c r="P55" s="64">
        <f t="shared" si="0"/>
        <v>880</v>
      </c>
      <c r="Q55" s="39">
        <v>1</v>
      </c>
      <c r="R55" s="39">
        <v>1</v>
      </c>
      <c r="S55" s="39">
        <v>0</v>
      </c>
      <c r="T55" s="39">
        <v>77</v>
      </c>
      <c r="U55" s="39">
        <v>0</v>
      </c>
      <c r="V55" s="39">
        <v>1</v>
      </c>
      <c r="W55" s="39">
        <v>0</v>
      </c>
      <c r="X55" s="39">
        <v>0</v>
      </c>
      <c r="Y55" s="39">
        <v>0</v>
      </c>
      <c r="Z55" s="39">
        <v>1</v>
      </c>
      <c r="AA55" s="39">
        <v>1</v>
      </c>
      <c r="AB55" s="39">
        <v>0</v>
      </c>
      <c r="AC55" s="39">
        <v>0</v>
      </c>
      <c r="AD55" s="39">
        <v>0</v>
      </c>
      <c r="AE55" s="39">
        <v>0</v>
      </c>
      <c r="AF55" s="39">
        <v>0</v>
      </c>
      <c r="AG55" s="39">
        <v>0</v>
      </c>
      <c r="AH55" s="39">
        <v>0</v>
      </c>
      <c r="AI55" s="39">
        <v>0</v>
      </c>
      <c r="AJ55" s="39">
        <v>0</v>
      </c>
      <c r="AK55" s="39">
        <v>0</v>
      </c>
      <c r="AL55" s="39">
        <v>0</v>
      </c>
      <c r="AM55" s="39">
        <v>1</v>
      </c>
      <c r="AN55" s="39">
        <v>68</v>
      </c>
      <c r="AO55" s="39">
        <v>166</v>
      </c>
      <c r="AP55" s="39">
        <v>24.7</v>
      </c>
      <c r="AQ55" s="39">
        <v>36.799999999999997</v>
      </c>
      <c r="AR55" s="39">
        <v>154</v>
      </c>
      <c r="AS55" s="39">
        <v>92</v>
      </c>
      <c r="AT55" s="39">
        <v>3</v>
      </c>
      <c r="AU55">
        <v>1</v>
      </c>
      <c r="AV55" s="39">
        <v>105</v>
      </c>
      <c r="AW55" s="43">
        <v>43594</v>
      </c>
      <c r="AX55" s="43">
        <v>43594</v>
      </c>
      <c r="AY55" s="39">
        <v>0</v>
      </c>
      <c r="AZ55" s="43">
        <v>43592</v>
      </c>
      <c r="BA55" s="39">
        <v>1</v>
      </c>
      <c r="BB55" s="39">
        <v>1</v>
      </c>
      <c r="BC55" s="39">
        <v>0</v>
      </c>
      <c r="BD55" s="39">
        <v>1</v>
      </c>
      <c r="BE55" s="39">
        <v>0</v>
      </c>
      <c r="BF55" s="39">
        <v>1</v>
      </c>
      <c r="BG55" s="39">
        <v>1</v>
      </c>
      <c r="BH55" s="39">
        <v>1</v>
      </c>
      <c r="BI55" s="39">
        <v>1</v>
      </c>
      <c r="BJ55">
        <v>0</v>
      </c>
      <c r="BK55">
        <v>0</v>
      </c>
      <c r="BL55">
        <v>0</v>
      </c>
      <c r="BM55" s="66">
        <v>0</v>
      </c>
      <c r="BN55">
        <v>0</v>
      </c>
      <c r="BO55">
        <v>0</v>
      </c>
      <c r="BP55" s="66">
        <f t="shared" si="22"/>
        <v>0</v>
      </c>
      <c r="BQ55">
        <v>0</v>
      </c>
      <c r="BR55">
        <v>0</v>
      </c>
      <c r="BS55">
        <v>0</v>
      </c>
      <c r="BT55">
        <v>0</v>
      </c>
      <c r="BU55" s="66">
        <f t="shared" si="23"/>
        <v>0</v>
      </c>
      <c r="BV55">
        <v>0</v>
      </c>
      <c r="BW55">
        <v>0</v>
      </c>
      <c r="BX55" s="66">
        <f t="shared" si="3"/>
        <v>0</v>
      </c>
      <c r="BY55">
        <v>0</v>
      </c>
      <c r="BZ55">
        <f t="shared" si="4"/>
        <v>0</v>
      </c>
      <c r="CA55" s="39">
        <v>1</v>
      </c>
      <c r="CB55" s="39">
        <v>0</v>
      </c>
      <c r="CC55" s="39">
        <v>3</v>
      </c>
      <c r="CD55" s="39">
        <v>0</v>
      </c>
      <c r="CE55" s="39">
        <v>0</v>
      </c>
      <c r="CF55" s="39">
        <v>0</v>
      </c>
      <c r="CG55" s="39">
        <v>0</v>
      </c>
      <c r="CH55" s="39">
        <v>0</v>
      </c>
      <c r="CI55" s="39">
        <v>0</v>
      </c>
      <c r="CJ55" s="39">
        <v>0</v>
      </c>
      <c r="CK55" s="39">
        <v>0</v>
      </c>
      <c r="CL55" s="39">
        <v>1</v>
      </c>
      <c r="CM55" s="39">
        <v>1</v>
      </c>
      <c r="CN55" s="39">
        <v>0</v>
      </c>
      <c r="CO55">
        <f t="shared" ref="CO55" si="25">CN55+CK55+CJ55+CI55+CH55+CG55+CF55+CE55</f>
        <v>0</v>
      </c>
      <c r="CP55" s="39">
        <v>0</v>
      </c>
      <c r="CQ55" s="39">
        <v>0</v>
      </c>
      <c r="CR55" s="39">
        <v>0</v>
      </c>
      <c r="CS55" s="39">
        <v>0</v>
      </c>
      <c r="CT55" s="39">
        <v>0</v>
      </c>
      <c r="CU55" s="39">
        <v>0</v>
      </c>
      <c r="CV55" s="39">
        <v>0</v>
      </c>
      <c r="CW55" s="31"/>
      <c r="CY55">
        <v>0</v>
      </c>
      <c r="DA55" s="43">
        <v>43594</v>
      </c>
      <c r="DB55" s="66">
        <f t="shared" si="5"/>
        <v>2</v>
      </c>
      <c r="DC55" s="39" t="s">
        <v>1</v>
      </c>
      <c r="DD55" s="39">
        <v>0</v>
      </c>
      <c r="DE55" s="43">
        <v>43606</v>
      </c>
      <c r="DF55" s="39">
        <v>13</v>
      </c>
      <c r="DG55" s="43">
        <v>43594</v>
      </c>
      <c r="DH55" s="39">
        <v>14</v>
      </c>
      <c r="DI55" s="39">
        <v>19</v>
      </c>
      <c r="DJ55" s="39">
        <v>2.1</v>
      </c>
      <c r="DK55" s="80">
        <v>254</v>
      </c>
      <c r="DL55" s="39">
        <v>6</v>
      </c>
      <c r="DM55" s="39">
        <v>107</v>
      </c>
      <c r="DN55" s="39">
        <v>7461</v>
      </c>
      <c r="DO55" s="39">
        <v>2</v>
      </c>
      <c r="DP55" s="39">
        <v>254</v>
      </c>
      <c r="DQ55" s="39">
        <v>7461</v>
      </c>
      <c r="DR55" s="39">
        <v>56</v>
      </c>
      <c r="DS55" s="39">
        <v>3.4</v>
      </c>
      <c r="DU55" s="39">
        <v>27</v>
      </c>
      <c r="DW55" s="43">
        <v>43594</v>
      </c>
      <c r="DX55" s="39">
        <v>22.8</v>
      </c>
      <c r="DY55">
        <f>EA55</f>
        <v>22.8</v>
      </c>
      <c r="DZ55">
        <v>1</v>
      </c>
      <c r="EA55" s="39">
        <v>22.8</v>
      </c>
      <c r="EB55">
        <v>1</v>
      </c>
      <c r="EC55" s="39">
        <v>1.4</v>
      </c>
      <c r="ED55">
        <f t="shared" si="24"/>
        <v>1.4</v>
      </c>
      <c r="EE55">
        <v>0</v>
      </c>
      <c r="EF55" s="39">
        <v>1.4</v>
      </c>
      <c r="EG55">
        <v>0</v>
      </c>
      <c r="EH55" s="39">
        <v>237</v>
      </c>
      <c r="EI55" s="62">
        <v>1</v>
      </c>
      <c r="EJ55" s="39">
        <v>237</v>
      </c>
      <c r="EK55" s="39">
        <v>1</v>
      </c>
      <c r="EL55">
        <f t="shared" si="6"/>
        <v>0</v>
      </c>
      <c r="EM55" s="39">
        <v>237</v>
      </c>
      <c r="EN55" s="39">
        <v>1</v>
      </c>
      <c r="EO55" s="39">
        <v>0.18</v>
      </c>
      <c r="ER55" s="39">
        <v>20</v>
      </c>
      <c r="ET55" s="39">
        <v>23</v>
      </c>
      <c r="EU55" s="39">
        <v>10</v>
      </c>
      <c r="EV55" s="39">
        <v>46</v>
      </c>
      <c r="EW55" s="39">
        <v>94</v>
      </c>
      <c r="EX55" s="39">
        <v>18</v>
      </c>
      <c r="EY55" s="39">
        <v>8</v>
      </c>
      <c r="FB55">
        <v>0</v>
      </c>
      <c r="FC55" s="39">
        <v>1</v>
      </c>
      <c r="FD55" s="39">
        <v>0</v>
      </c>
      <c r="FF55" s="39">
        <v>1</v>
      </c>
      <c r="FG55">
        <v>0</v>
      </c>
      <c r="FK55" s="39">
        <v>0</v>
      </c>
      <c r="FL55">
        <v>0</v>
      </c>
      <c r="FM55"/>
      <c r="FN55"/>
      <c r="FO55">
        <v>0</v>
      </c>
      <c r="FQ55" s="44">
        <v>43594</v>
      </c>
      <c r="FR55" s="44" t="s">
        <v>230</v>
      </c>
      <c r="FS55" s="45">
        <v>1</v>
      </c>
      <c r="FT55" s="45">
        <v>0</v>
      </c>
      <c r="FU55" s="45">
        <v>1</v>
      </c>
      <c r="FV55" s="45">
        <v>0</v>
      </c>
      <c r="FW55" s="45">
        <v>1</v>
      </c>
      <c r="FX55" s="45">
        <v>0</v>
      </c>
      <c r="FY55" s="45">
        <v>0</v>
      </c>
      <c r="FZ55" s="45">
        <v>0</v>
      </c>
      <c r="GA55" s="45">
        <v>0</v>
      </c>
      <c r="GB55" s="45">
        <v>1</v>
      </c>
      <c r="GC55" s="45">
        <v>1</v>
      </c>
      <c r="GD55" s="45">
        <v>1</v>
      </c>
      <c r="GE55" s="45">
        <v>1</v>
      </c>
      <c r="GF55" s="45">
        <v>0</v>
      </c>
      <c r="GG55" s="45">
        <v>1</v>
      </c>
      <c r="GH55" s="45">
        <v>1</v>
      </c>
      <c r="GI55" s="45">
        <v>1</v>
      </c>
      <c r="GJ55" s="45">
        <v>0</v>
      </c>
      <c r="GK55" s="45">
        <v>0</v>
      </c>
      <c r="GL55" s="45">
        <v>0</v>
      </c>
      <c r="GM55" s="45">
        <v>1</v>
      </c>
      <c r="GN55" s="45">
        <v>0</v>
      </c>
      <c r="GO55" s="45">
        <v>0</v>
      </c>
      <c r="GP55" s="45">
        <v>0</v>
      </c>
      <c r="GQ55" s="45">
        <v>0</v>
      </c>
      <c r="GR55" s="45">
        <v>0</v>
      </c>
      <c r="GS55" s="45">
        <v>0</v>
      </c>
      <c r="GT55" s="45">
        <v>0</v>
      </c>
      <c r="GU55" s="45">
        <v>1</v>
      </c>
      <c r="GV55" s="45">
        <v>0</v>
      </c>
      <c r="GW55" s="45">
        <v>0</v>
      </c>
      <c r="GX55" s="45">
        <v>0</v>
      </c>
      <c r="GY55" s="15">
        <v>0</v>
      </c>
      <c r="GZ55" s="15">
        <v>0</v>
      </c>
      <c r="HA55" s="45">
        <v>0</v>
      </c>
      <c r="HB55" s="45">
        <v>1</v>
      </c>
      <c r="HC55" s="45">
        <v>0</v>
      </c>
      <c r="HD55" s="45">
        <v>0</v>
      </c>
      <c r="HE55" s="15">
        <v>0</v>
      </c>
      <c r="HF55" s="15">
        <v>0</v>
      </c>
      <c r="HG55" s="45">
        <v>0</v>
      </c>
      <c r="HH55" s="45">
        <v>0</v>
      </c>
      <c r="HI55" s="45">
        <v>1</v>
      </c>
      <c r="HJ55" s="45">
        <v>1</v>
      </c>
      <c r="HK55" s="45">
        <v>0</v>
      </c>
      <c r="HL55" s="45">
        <v>1</v>
      </c>
      <c r="HM55" s="45">
        <v>0</v>
      </c>
      <c r="HN55" s="45">
        <v>0</v>
      </c>
      <c r="HO55" s="45">
        <v>1</v>
      </c>
      <c r="HP55" s="45">
        <v>0</v>
      </c>
      <c r="HQ55" s="45">
        <v>0</v>
      </c>
      <c r="HR55" s="45">
        <v>0</v>
      </c>
      <c r="HS55" s="45">
        <v>0</v>
      </c>
      <c r="HT55" s="45">
        <v>1</v>
      </c>
      <c r="HU55" s="45">
        <v>1</v>
      </c>
      <c r="HV55" s="45">
        <v>0</v>
      </c>
      <c r="HW55" s="45">
        <v>0</v>
      </c>
      <c r="HX55" s="45">
        <v>0</v>
      </c>
      <c r="HY55" s="45"/>
      <c r="HZ55" s="45"/>
      <c r="IA55" s="45"/>
      <c r="IB55" s="45"/>
      <c r="IC55" s="45"/>
      <c r="ID55" s="45"/>
      <c r="IE55" s="45"/>
      <c r="IF55" s="45"/>
      <c r="IG55" s="45"/>
      <c r="IH55" s="45"/>
      <c r="II55" s="45"/>
      <c r="IJ55" s="45"/>
      <c r="IK55" s="45"/>
      <c r="IL55" s="45"/>
      <c r="IM55" s="45"/>
      <c r="IN55" s="45"/>
      <c r="IO55" s="45"/>
      <c r="IP55" s="45"/>
      <c r="IQ55" s="45"/>
      <c r="IR55" s="45"/>
      <c r="IS55" s="45"/>
      <c r="IT55" s="45"/>
      <c r="IU55" s="45"/>
      <c r="IV55" s="45"/>
      <c r="IW55" s="45"/>
      <c r="IX55" s="45"/>
      <c r="IY55" s="45"/>
      <c r="IZ55" s="45"/>
      <c r="JA55" s="45"/>
      <c r="JB55" s="45"/>
      <c r="JC55" s="45"/>
      <c r="JD55" s="45"/>
      <c r="JE55" s="45"/>
      <c r="JF55" s="45"/>
      <c r="JG55" s="45"/>
      <c r="JH55" s="45"/>
      <c r="JI55" s="45"/>
      <c r="JJ55" s="45"/>
      <c r="JK55" s="45"/>
      <c r="JL55" s="45"/>
      <c r="JM55" s="45"/>
      <c r="JN55" s="45"/>
      <c r="JO55" s="45"/>
      <c r="JP55" s="45"/>
      <c r="JQ55" s="45"/>
      <c r="JR55" s="45"/>
      <c r="JS55" s="45"/>
      <c r="JT55" s="45"/>
      <c r="JU55" s="45"/>
      <c r="JV55" s="45"/>
      <c r="JW55" s="45"/>
      <c r="JX55" s="45"/>
      <c r="JY55" s="45"/>
      <c r="JZ55" s="45"/>
      <c r="KA55" s="45"/>
      <c r="KB55" s="45"/>
      <c r="KC55" s="45"/>
      <c r="KD55" s="45"/>
      <c r="KE55" s="45"/>
      <c r="KF55" s="45"/>
      <c r="KG55"/>
      <c r="KH55"/>
      <c r="KI55">
        <v>1</v>
      </c>
      <c r="KJ55">
        <v>0</v>
      </c>
      <c r="KK55">
        <v>1</v>
      </c>
      <c r="KL55">
        <v>0</v>
      </c>
      <c r="KM55">
        <v>1</v>
      </c>
      <c r="KN55">
        <v>0</v>
      </c>
      <c r="KO55">
        <v>0</v>
      </c>
      <c r="KP55">
        <v>0</v>
      </c>
      <c r="KQ55">
        <v>0</v>
      </c>
      <c r="KR55">
        <v>1</v>
      </c>
      <c r="KS55">
        <v>1</v>
      </c>
      <c r="KT55">
        <v>1</v>
      </c>
      <c r="KU55">
        <v>1</v>
      </c>
      <c r="KV55">
        <v>0</v>
      </c>
      <c r="KW55">
        <v>1</v>
      </c>
      <c r="KX55">
        <v>1</v>
      </c>
      <c r="KY55">
        <v>1</v>
      </c>
      <c r="KZ55">
        <v>0</v>
      </c>
      <c r="LA55">
        <v>0</v>
      </c>
      <c r="LB55">
        <v>0</v>
      </c>
      <c r="LC55">
        <v>1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1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1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1</v>
      </c>
      <c r="LZ55">
        <v>1</v>
      </c>
      <c r="MA55">
        <v>0</v>
      </c>
      <c r="MB55">
        <v>1</v>
      </c>
      <c r="MC55">
        <v>0</v>
      </c>
      <c r="MD55">
        <v>0</v>
      </c>
      <c r="ME55">
        <v>1</v>
      </c>
      <c r="MF55">
        <v>0</v>
      </c>
      <c r="MG55">
        <v>0</v>
      </c>
      <c r="MH55">
        <v>0</v>
      </c>
      <c r="MI55">
        <v>0</v>
      </c>
      <c r="MJ55">
        <v>1</v>
      </c>
      <c r="MK55">
        <v>1</v>
      </c>
      <c r="ML55">
        <v>0</v>
      </c>
      <c r="MM55">
        <v>0</v>
      </c>
      <c r="MN55">
        <v>0</v>
      </c>
      <c r="MO55">
        <v>1</v>
      </c>
      <c r="MP55">
        <v>0</v>
      </c>
      <c r="MQ55">
        <v>1</v>
      </c>
      <c r="MR55">
        <v>1</v>
      </c>
    </row>
    <row r="56" spans="1:358" s="39" customFormat="1" ht="18" x14ac:dyDescent="0.25">
      <c r="A56" t="s">
        <v>448</v>
      </c>
      <c r="B56" s="48">
        <v>34</v>
      </c>
      <c r="C56" s="40">
        <v>1</v>
      </c>
      <c r="D56" s="40">
        <v>0</v>
      </c>
      <c r="E56" s="40"/>
      <c r="F56" s="55">
        <v>1456</v>
      </c>
      <c r="G56" s="55"/>
      <c r="H56" s="57">
        <v>0</v>
      </c>
      <c r="I56" s="57">
        <v>0</v>
      </c>
      <c r="J56" s="57"/>
      <c r="K56" s="40"/>
      <c r="L56" s="40"/>
      <c r="M56" s="40"/>
      <c r="N56" s="40">
        <v>0</v>
      </c>
      <c r="O56" s="42">
        <v>44950</v>
      </c>
      <c r="P56" s="64">
        <f t="shared" si="0"/>
        <v>1456</v>
      </c>
      <c r="Q56" s="39">
        <v>1</v>
      </c>
      <c r="R56" s="39">
        <v>1</v>
      </c>
      <c r="S56" s="39">
        <v>0</v>
      </c>
      <c r="T56" s="39">
        <v>77</v>
      </c>
      <c r="U56" s="39">
        <v>0</v>
      </c>
      <c r="V56" s="39">
        <v>0</v>
      </c>
      <c r="W56" s="39">
        <v>0</v>
      </c>
      <c r="X56" s="39">
        <v>0</v>
      </c>
      <c r="Y56" s="39">
        <v>0</v>
      </c>
      <c r="Z56" s="39">
        <v>0</v>
      </c>
      <c r="AA56" s="39">
        <v>0</v>
      </c>
      <c r="AB56" s="39">
        <v>0</v>
      </c>
      <c r="AC56" s="39">
        <v>0</v>
      </c>
      <c r="AD56" s="39">
        <v>0</v>
      </c>
      <c r="AE56" s="39">
        <v>0</v>
      </c>
      <c r="AF56" s="39">
        <v>0</v>
      </c>
      <c r="AG56" s="39">
        <v>0</v>
      </c>
      <c r="AH56" s="39">
        <v>0</v>
      </c>
      <c r="AI56" s="39">
        <v>0</v>
      </c>
      <c r="AJ56" s="39">
        <v>0</v>
      </c>
      <c r="AK56" s="39">
        <v>0</v>
      </c>
      <c r="AL56" s="39">
        <v>0</v>
      </c>
      <c r="AM56" s="39">
        <v>1</v>
      </c>
      <c r="AN56" s="39">
        <v>64</v>
      </c>
      <c r="AO56" s="39">
        <v>150</v>
      </c>
      <c r="AP56" s="39">
        <v>28.4</v>
      </c>
      <c r="AQ56" s="39">
        <v>37.4</v>
      </c>
      <c r="AR56" s="39">
        <v>116</v>
      </c>
      <c r="AS56" s="39">
        <v>74</v>
      </c>
      <c r="AT56" s="39">
        <v>2</v>
      </c>
      <c r="AU56">
        <v>0</v>
      </c>
      <c r="AV56" s="39">
        <v>122</v>
      </c>
      <c r="AW56" s="43">
        <v>43494</v>
      </c>
      <c r="AX56" s="43">
        <v>43494</v>
      </c>
      <c r="AY56" s="39">
        <v>1</v>
      </c>
      <c r="AZ56" s="43">
        <v>43494</v>
      </c>
      <c r="BA56" s="39">
        <v>1</v>
      </c>
      <c r="BB56" s="39">
        <v>0</v>
      </c>
      <c r="BC56" s="39">
        <v>0</v>
      </c>
      <c r="BD56" s="39">
        <v>0</v>
      </c>
      <c r="BE56" s="39">
        <v>1</v>
      </c>
      <c r="BF56" s="39">
        <v>0</v>
      </c>
      <c r="BG56" s="39">
        <v>0</v>
      </c>
      <c r="BH56" s="39">
        <v>0</v>
      </c>
      <c r="BI56" s="39">
        <v>0</v>
      </c>
      <c r="BJ56">
        <v>0</v>
      </c>
      <c r="BK56">
        <v>0</v>
      </c>
      <c r="BL56">
        <v>0</v>
      </c>
      <c r="BM56" s="66">
        <v>0</v>
      </c>
      <c r="BN56">
        <v>0</v>
      </c>
      <c r="BO56">
        <v>0</v>
      </c>
      <c r="BP56" s="66">
        <f t="shared" si="22"/>
        <v>0</v>
      </c>
      <c r="BQ56">
        <v>0</v>
      </c>
      <c r="BR56">
        <v>0</v>
      </c>
      <c r="BS56">
        <v>0</v>
      </c>
      <c r="BT56">
        <v>0</v>
      </c>
      <c r="BU56" s="66">
        <f t="shared" si="23"/>
        <v>0</v>
      </c>
      <c r="BV56">
        <v>0</v>
      </c>
      <c r="BW56">
        <v>0</v>
      </c>
      <c r="BX56" s="66">
        <f t="shared" si="3"/>
        <v>0</v>
      </c>
      <c r="BY56">
        <v>0</v>
      </c>
      <c r="BZ56">
        <f t="shared" si="4"/>
        <v>0</v>
      </c>
      <c r="CA56" s="39">
        <v>0</v>
      </c>
      <c r="CB56" s="39">
        <v>0</v>
      </c>
      <c r="CC56" s="39">
        <v>2</v>
      </c>
      <c r="CD56" s="39">
        <v>0</v>
      </c>
      <c r="CE56" s="39">
        <v>0</v>
      </c>
      <c r="CF56" s="39">
        <v>1</v>
      </c>
      <c r="CG56" s="39">
        <v>0</v>
      </c>
      <c r="CH56" s="39">
        <v>0</v>
      </c>
      <c r="CI56" s="39">
        <v>0</v>
      </c>
      <c r="CJ56" s="39">
        <v>0</v>
      </c>
      <c r="CK56" s="39">
        <v>0</v>
      </c>
      <c r="CL56" s="39">
        <v>0</v>
      </c>
      <c r="CM56" s="39">
        <v>0</v>
      </c>
      <c r="CN56" s="39">
        <v>0</v>
      </c>
      <c r="CO56">
        <v>1</v>
      </c>
      <c r="CP56" s="39">
        <v>0</v>
      </c>
      <c r="CQ56" s="39">
        <v>0</v>
      </c>
      <c r="CR56" s="39">
        <v>0</v>
      </c>
      <c r="CS56" s="39">
        <v>0</v>
      </c>
      <c r="CT56" s="39">
        <v>0</v>
      </c>
      <c r="CU56" s="39">
        <v>0</v>
      </c>
      <c r="CV56" s="39">
        <v>0</v>
      </c>
      <c r="CW56" s="31"/>
      <c r="CX56" s="39">
        <v>1</v>
      </c>
      <c r="CY56">
        <v>0</v>
      </c>
      <c r="DA56" s="43">
        <v>43495</v>
      </c>
      <c r="DB56" s="66">
        <f t="shared" si="5"/>
        <v>1</v>
      </c>
      <c r="DC56" s="39" t="s">
        <v>1</v>
      </c>
      <c r="DD56" s="39">
        <v>0</v>
      </c>
      <c r="DE56" s="43">
        <v>43504</v>
      </c>
      <c r="DF56" s="39">
        <v>10</v>
      </c>
      <c r="DG56" s="43">
        <v>43495</v>
      </c>
      <c r="DH56" s="39">
        <v>10</v>
      </c>
      <c r="DI56" s="39">
        <v>9.3000000000000007</v>
      </c>
      <c r="DJ56" s="39">
        <v>1</v>
      </c>
      <c r="DK56" s="80">
        <v>285</v>
      </c>
      <c r="DL56" s="39">
        <v>6</v>
      </c>
      <c r="DM56" s="39">
        <v>94</v>
      </c>
      <c r="DO56" s="39">
        <v>2</v>
      </c>
      <c r="DP56" s="39">
        <v>285</v>
      </c>
      <c r="DR56" s="39">
        <v>48</v>
      </c>
      <c r="DS56" s="39">
        <v>2.7</v>
      </c>
      <c r="DU56" s="39">
        <v>153</v>
      </c>
      <c r="DW56" s="43">
        <v>43494</v>
      </c>
      <c r="DX56" s="39">
        <v>11.2</v>
      </c>
      <c r="DY56" s="39">
        <v>9.1</v>
      </c>
      <c r="DZ56">
        <v>0</v>
      </c>
      <c r="EA56" s="39">
        <v>11.2</v>
      </c>
      <c r="EB56">
        <v>0</v>
      </c>
      <c r="EC56" s="39">
        <v>1.02</v>
      </c>
      <c r="ED56" s="39">
        <v>0.66</v>
      </c>
      <c r="EE56">
        <v>0</v>
      </c>
      <c r="EF56" s="39">
        <v>1.02</v>
      </c>
      <c r="EG56">
        <v>0</v>
      </c>
      <c r="EH56" s="39">
        <v>236</v>
      </c>
      <c r="EI56" s="62">
        <v>0.55932203389830504</v>
      </c>
      <c r="EJ56" s="39">
        <v>132</v>
      </c>
      <c r="EK56">
        <v>0</v>
      </c>
      <c r="EL56">
        <f t="shared" si="6"/>
        <v>-104</v>
      </c>
      <c r="EM56" s="39">
        <v>236</v>
      </c>
      <c r="EN56" s="39">
        <v>1</v>
      </c>
      <c r="EO56" s="39">
        <v>6.42</v>
      </c>
      <c r="EP56" s="39">
        <v>0.9</v>
      </c>
      <c r="ER56" s="39">
        <v>19</v>
      </c>
      <c r="ES56" s="39">
        <v>35</v>
      </c>
      <c r="ET56" s="39">
        <v>18</v>
      </c>
      <c r="EU56" s="39">
        <v>14</v>
      </c>
      <c r="EV56" s="39">
        <v>27</v>
      </c>
      <c r="EW56" s="39">
        <v>64</v>
      </c>
      <c r="EX56" s="39">
        <v>6</v>
      </c>
      <c r="EY56" s="39">
        <v>4</v>
      </c>
      <c r="EZ56" s="39">
        <v>90</v>
      </c>
      <c r="FB56">
        <v>0</v>
      </c>
      <c r="FC56" s="39">
        <v>1</v>
      </c>
      <c r="FD56" s="39">
        <v>0</v>
      </c>
      <c r="FF56" s="39">
        <v>1</v>
      </c>
      <c r="FG56">
        <v>0</v>
      </c>
      <c r="FK56">
        <v>0</v>
      </c>
      <c r="FL56">
        <v>0</v>
      </c>
      <c r="FM56"/>
      <c r="FN56"/>
      <c r="FO56">
        <v>0</v>
      </c>
      <c r="FQ56" s="44">
        <v>43495</v>
      </c>
      <c r="FR56" s="44" t="s">
        <v>230</v>
      </c>
      <c r="FS56" s="45">
        <v>0</v>
      </c>
      <c r="FT56" s="45">
        <v>0</v>
      </c>
      <c r="FU56" s="45">
        <v>1</v>
      </c>
      <c r="FV56" s="45">
        <v>0</v>
      </c>
      <c r="FW56" s="45">
        <v>1</v>
      </c>
      <c r="FX56" s="45">
        <v>1</v>
      </c>
      <c r="FY56" s="45">
        <v>1</v>
      </c>
      <c r="FZ56" s="45">
        <v>0</v>
      </c>
      <c r="GA56" s="45">
        <v>1</v>
      </c>
      <c r="GB56" s="45">
        <v>0</v>
      </c>
      <c r="GC56" s="45">
        <v>1</v>
      </c>
      <c r="GD56" s="45">
        <v>1</v>
      </c>
      <c r="GE56" s="45">
        <v>1</v>
      </c>
      <c r="GF56" s="45">
        <v>0</v>
      </c>
      <c r="GG56" s="45">
        <v>0</v>
      </c>
      <c r="GH56" s="45">
        <v>0</v>
      </c>
      <c r="GI56" s="45">
        <v>0</v>
      </c>
      <c r="GJ56" s="45">
        <v>0</v>
      </c>
      <c r="GK56" s="45">
        <v>1</v>
      </c>
      <c r="GL56" s="45">
        <v>0</v>
      </c>
      <c r="GM56" s="45">
        <v>0</v>
      </c>
      <c r="GN56" s="45">
        <v>1</v>
      </c>
      <c r="GO56" s="45">
        <v>1</v>
      </c>
      <c r="GP56" s="45">
        <v>0</v>
      </c>
      <c r="GQ56" s="45">
        <v>1</v>
      </c>
      <c r="GR56" s="45">
        <v>1</v>
      </c>
      <c r="GS56" s="45">
        <v>1</v>
      </c>
      <c r="GT56" s="45">
        <v>1</v>
      </c>
      <c r="GU56" s="45">
        <v>1</v>
      </c>
      <c r="GV56" s="45">
        <v>0</v>
      </c>
      <c r="GW56" s="45">
        <v>0</v>
      </c>
      <c r="GX56" s="45">
        <v>0</v>
      </c>
      <c r="GY56" s="15">
        <v>0</v>
      </c>
      <c r="GZ56" s="15">
        <v>0</v>
      </c>
      <c r="HA56" s="45">
        <v>0</v>
      </c>
      <c r="HB56" s="45">
        <v>1</v>
      </c>
      <c r="HC56" s="45">
        <v>0</v>
      </c>
      <c r="HD56" s="45">
        <v>0</v>
      </c>
      <c r="HE56" s="15">
        <v>0</v>
      </c>
      <c r="HF56" s="15">
        <v>0</v>
      </c>
      <c r="HG56" s="45">
        <v>0</v>
      </c>
      <c r="HH56" s="45">
        <v>0</v>
      </c>
      <c r="HI56" s="45">
        <v>0</v>
      </c>
      <c r="HJ56" s="45">
        <v>0</v>
      </c>
      <c r="HK56" s="45">
        <v>0</v>
      </c>
      <c r="HL56" s="45">
        <v>1</v>
      </c>
      <c r="HM56" s="45"/>
      <c r="HN56" s="45">
        <v>0</v>
      </c>
      <c r="HO56" s="45">
        <v>1</v>
      </c>
      <c r="HP56" s="45">
        <v>0</v>
      </c>
      <c r="HQ56" s="45">
        <v>0</v>
      </c>
      <c r="HR56" s="45">
        <v>0</v>
      </c>
      <c r="HS56" s="45">
        <v>0</v>
      </c>
      <c r="HT56" s="45">
        <v>0</v>
      </c>
      <c r="HU56" s="45">
        <v>1</v>
      </c>
      <c r="HV56" s="45">
        <v>0</v>
      </c>
      <c r="HW56" s="45">
        <v>1</v>
      </c>
      <c r="HX56" s="45">
        <v>0</v>
      </c>
      <c r="HY56" s="44">
        <v>43500</v>
      </c>
      <c r="HZ56" s="45" t="s">
        <v>231</v>
      </c>
      <c r="IA56" s="45">
        <v>1</v>
      </c>
      <c r="IB56" s="45">
        <v>1</v>
      </c>
      <c r="IC56" s="45">
        <v>1</v>
      </c>
      <c r="ID56" s="45">
        <v>0</v>
      </c>
      <c r="IE56" s="45">
        <v>1</v>
      </c>
      <c r="IF56" s="45">
        <v>1</v>
      </c>
      <c r="IG56" s="45">
        <v>1</v>
      </c>
      <c r="IH56" s="45">
        <v>0</v>
      </c>
      <c r="II56" s="45">
        <v>1</v>
      </c>
      <c r="IJ56" s="45">
        <v>0</v>
      </c>
      <c r="IK56" s="45">
        <v>1</v>
      </c>
      <c r="IL56" s="45">
        <v>1</v>
      </c>
      <c r="IM56" s="45">
        <v>1</v>
      </c>
      <c r="IN56" s="45">
        <v>0</v>
      </c>
      <c r="IO56" s="45">
        <v>0</v>
      </c>
      <c r="IP56" s="45">
        <v>0</v>
      </c>
      <c r="IQ56" s="45">
        <v>0</v>
      </c>
      <c r="IR56" s="45">
        <v>0</v>
      </c>
      <c r="IS56" s="45">
        <v>1</v>
      </c>
      <c r="IT56" s="45">
        <v>0</v>
      </c>
      <c r="IU56" s="45">
        <v>0</v>
      </c>
      <c r="IV56" s="45">
        <v>1</v>
      </c>
      <c r="IW56" s="45">
        <v>1</v>
      </c>
      <c r="IX56" s="45">
        <v>0</v>
      </c>
      <c r="IY56" s="45">
        <v>1</v>
      </c>
      <c r="IZ56" s="45">
        <v>1</v>
      </c>
      <c r="JA56" s="45">
        <v>1</v>
      </c>
      <c r="JB56" s="45">
        <v>1</v>
      </c>
      <c r="JC56" s="45">
        <v>1</v>
      </c>
      <c r="JD56" s="45">
        <v>0</v>
      </c>
      <c r="JE56" s="45">
        <v>0</v>
      </c>
      <c r="JF56" s="45">
        <v>0</v>
      </c>
      <c r="JG56" s="15">
        <v>0</v>
      </c>
      <c r="JH56" s="15">
        <v>0</v>
      </c>
      <c r="JI56" s="45">
        <v>0</v>
      </c>
      <c r="JJ56" s="45">
        <v>1</v>
      </c>
      <c r="JK56" s="45">
        <v>0</v>
      </c>
      <c r="JL56" s="45">
        <v>0</v>
      </c>
      <c r="JM56" s="15">
        <v>0</v>
      </c>
      <c r="JN56" s="15">
        <v>0</v>
      </c>
      <c r="JO56" s="45">
        <v>0</v>
      </c>
      <c r="JP56" s="45">
        <v>0</v>
      </c>
      <c r="JQ56" s="45">
        <v>0</v>
      </c>
      <c r="JR56" s="45">
        <v>0</v>
      </c>
      <c r="JS56" s="45">
        <v>0</v>
      </c>
      <c r="JT56" s="45">
        <v>0</v>
      </c>
      <c r="JU56" s="45">
        <v>0</v>
      </c>
      <c r="JV56" s="45">
        <v>0</v>
      </c>
      <c r="JW56" s="45">
        <v>1</v>
      </c>
      <c r="JX56" s="45">
        <v>0</v>
      </c>
      <c r="JY56" s="45">
        <v>0</v>
      </c>
      <c r="JZ56" s="45">
        <v>0</v>
      </c>
      <c r="KA56" s="45">
        <v>0</v>
      </c>
      <c r="KB56" s="45">
        <v>0</v>
      </c>
      <c r="KC56" s="45">
        <v>1</v>
      </c>
      <c r="KD56" s="45">
        <v>0</v>
      </c>
      <c r="KE56" s="45">
        <v>1</v>
      </c>
      <c r="KF56" s="45">
        <v>0</v>
      </c>
      <c r="KG56"/>
      <c r="KH56"/>
      <c r="KI56">
        <v>1</v>
      </c>
      <c r="KJ56">
        <v>1</v>
      </c>
      <c r="KK56">
        <v>1</v>
      </c>
      <c r="KL56">
        <v>0</v>
      </c>
      <c r="KM56">
        <v>1</v>
      </c>
      <c r="KN56">
        <v>1</v>
      </c>
      <c r="KO56">
        <v>1</v>
      </c>
      <c r="KP56">
        <v>0</v>
      </c>
      <c r="KQ56">
        <v>1</v>
      </c>
      <c r="KR56">
        <v>0</v>
      </c>
      <c r="KS56">
        <v>1</v>
      </c>
      <c r="KT56">
        <v>1</v>
      </c>
      <c r="KU56">
        <v>1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1</v>
      </c>
      <c r="LB56">
        <v>0</v>
      </c>
      <c r="LC56">
        <v>0</v>
      </c>
      <c r="LD56">
        <v>1</v>
      </c>
      <c r="LE56">
        <v>1</v>
      </c>
      <c r="LF56">
        <v>0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1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1</v>
      </c>
      <c r="MC56">
        <v>0</v>
      </c>
      <c r="MD56">
        <v>0</v>
      </c>
      <c r="ME56">
        <v>1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1</v>
      </c>
      <c r="ML56">
        <v>0</v>
      </c>
      <c r="MM56">
        <v>1</v>
      </c>
      <c r="MN56">
        <v>0</v>
      </c>
      <c r="MO56">
        <v>0</v>
      </c>
      <c r="MP56">
        <v>0</v>
      </c>
      <c r="MQ56">
        <f t="shared" si="10"/>
        <v>0</v>
      </c>
      <c r="MR56">
        <f t="shared" si="11"/>
        <v>0</v>
      </c>
    </row>
    <row r="57" spans="1:358" ht="18" x14ac:dyDescent="0.25">
      <c r="A57" t="s">
        <v>449</v>
      </c>
      <c r="B57" s="3">
        <v>45</v>
      </c>
      <c r="C57" s="3">
        <v>0</v>
      </c>
      <c r="D57" s="3">
        <v>1</v>
      </c>
      <c r="E57" s="26">
        <v>44143</v>
      </c>
      <c r="F57" s="61">
        <v>2</v>
      </c>
      <c r="G57" s="61"/>
      <c r="H57" s="57">
        <v>0</v>
      </c>
      <c r="I57" s="57"/>
      <c r="J57" s="58"/>
      <c r="K57" s="3" t="s">
        <v>22</v>
      </c>
      <c r="L57" s="64">
        <v>2</v>
      </c>
      <c r="M57" s="2">
        <v>44236</v>
      </c>
      <c r="N57" s="3">
        <v>0</v>
      </c>
      <c r="O57" s="2">
        <v>45079</v>
      </c>
      <c r="P57" s="64">
        <f t="shared" si="0"/>
        <v>938</v>
      </c>
      <c r="Q57">
        <v>1</v>
      </c>
      <c r="R57">
        <v>0</v>
      </c>
      <c r="S57">
        <v>0</v>
      </c>
      <c r="T57">
        <v>89</v>
      </c>
      <c r="U57">
        <v>1</v>
      </c>
      <c r="V57">
        <v>1</v>
      </c>
      <c r="W57">
        <v>0</v>
      </c>
      <c r="X57">
        <v>1</v>
      </c>
      <c r="Y57">
        <v>0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104</v>
      </c>
      <c r="AO57">
        <v>170</v>
      </c>
      <c r="AP57">
        <v>36</v>
      </c>
      <c r="AQ57">
        <v>36.700000000000003</v>
      </c>
      <c r="AR57">
        <v>143</v>
      </c>
      <c r="AS57">
        <v>100</v>
      </c>
      <c r="AT57">
        <v>2</v>
      </c>
      <c r="AU57">
        <v>0</v>
      </c>
      <c r="AW57" s="1">
        <v>44141</v>
      </c>
      <c r="AX57" s="1">
        <v>44141</v>
      </c>
      <c r="AY57">
        <v>0</v>
      </c>
      <c r="AZ57" s="1">
        <v>44141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1</v>
      </c>
      <c r="BJ57" s="39">
        <v>3</v>
      </c>
      <c r="BK57">
        <v>0</v>
      </c>
      <c r="BL57">
        <v>0</v>
      </c>
      <c r="BM57" s="66">
        <v>3</v>
      </c>
      <c r="BN57">
        <v>3</v>
      </c>
      <c r="BO57">
        <v>1</v>
      </c>
      <c r="BP57" s="66">
        <f t="shared" si="22"/>
        <v>10</v>
      </c>
      <c r="BQ57" s="39">
        <v>1</v>
      </c>
      <c r="BR57" s="39">
        <v>3</v>
      </c>
      <c r="BS57">
        <v>3</v>
      </c>
      <c r="BT57">
        <v>0</v>
      </c>
      <c r="BU57" s="66">
        <f t="shared" si="23"/>
        <v>3</v>
      </c>
      <c r="BV57">
        <v>3</v>
      </c>
      <c r="BW57">
        <v>1</v>
      </c>
      <c r="BX57" s="66">
        <f t="shared" si="3"/>
        <v>13</v>
      </c>
      <c r="BY57" s="39">
        <v>1</v>
      </c>
      <c r="BZ57">
        <v>1</v>
      </c>
      <c r="CA57">
        <v>1</v>
      </c>
      <c r="CB57">
        <v>1</v>
      </c>
      <c r="CC57">
        <v>7</v>
      </c>
      <c r="CD57">
        <v>1</v>
      </c>
      <c r="CE57">
        <v>0</v>
      </c>
      <c r="CF57">
        <v>1</v>
      </c>
      <c r="CG57">
        <v>0</v>
      </c>
      <c r="CH57">
        <v>1</v>
      </c>
      <c r="CI57">
        <v>0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1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DA57" s="1">
        <v>44144</v>
      </c>
      <c r="DB57" s="66">
        <f t="shared" si="5"/>
        <v>3</v>
      </c>
      <c r="DC57" t="s">
        <v>3</v>
      </c>
      <c r="DD57">
        <v>1</v>
      </c>
      <c r="DE57" s="1">
        <v>44152</v>
      </c>
      <c r="DF57">
        <v>9</v>
      </c>
      <c r="DG57" s="1">
        <v>44144</v>
      </c>
      <c r="DH57">
        <v>9</v>
      </c>
      <c r="DI57">
        <v>5.8</v>
      </c>
      <c r="DJ57">
        <v>0.8</v>
      </c>
      <c r="DK57" s="66">
        <v>36</v>
      </c>
      <c r="DL57">
        <v>3</v>
      </c>
      <c r="DM57">
        <v>43</v>
      </c>
      <c r="DO57">
        <v>1</v>
      </c>
      <c r="DP57">
        <v>36</v>
      </c>
      <c r="DR57">
        <v>307</v>
      </c>
      <c r="DS57">
        <v>12</v>
      </c>
      <c r="DV57">
        <v>281</v>
      </c>
      <c r="DW57" s="1">
        <v>44141</v>
      </c>
      <c r="DX57">
        <v>7</v>
      </c>
      <c r="DY57"/>
      <c r="DZ57"/>
      <c r="ED57">
        <f>EF57</f>
        <v>2.6</v>
      </c>
      <c r="EE57">
        <v>1</v>
      </c>
      <c r="EF57">
        <v>2.6</v>
      </c>
      <c r="EG57">
        <v>1</v>
      </c>
      <c r="EI57" s="62"/>
      <c r="EL57">
        <f t="shared" si="6"/>
        <v>0</v>
      </c>
      <c r="ER57">
        <v>30</v>
      </c>
      <c r="ET57">
        <v>757</v>
      </c>
      <c r="EU57">
        <v>920</v>
      </c>
      <c r="EV57">
        <v>37</v>
      </c>
      <c r="EW57">
        <v>35</v>
      </c>
      <c r="EX57">
        <v>34</v>
      </c>
      <c r="EY57">
        <v>23</v>
      </c>
      <c r="FA57">
        <v>7.52</v>
      </c>
      <c r="FC57">
        <v>1</v>
      </c>
      <c r="FD57">
        <v>1</v>
      </c>
      <c r="FE57" s="39" t="e">
        <f>#REF!</f>
        <v>#REF!</v>
      </c>
      <c r="FF57">
        <v>1</v>
      </c>
      <c r="FG57">
        <v>1</v>
      </c>
      <c r="FH57" s="1">
        <v>44154</v>
      </c>
      <c r="FI57" s="1"/>
      <c r="FJ57" s="1"/>
      <c r="FK57">
        <v>0</v>
      </c>
      <c r="FL57">
        <v>0</v>
      </c>
      <c r="FO57">
        <v>0</v>
      </c>
      <c r="FQ57" s="22">
        <v>44142</v>
      </c>
      <c r="FR57" s="22" t="s">
        <v>230</v>
      </c>
      <c r="FS57" s="15">
        <v>1</v>
      </c>
      <c r="FT57" s="15">
        <v>0</v>
      </c>
      <c r="FU57" s="15">
        <v>1</v>
      </c>
      <c r="FV57" s="15">
        <v>0</v>
      </c>
      <c r="FW57" s="15">
        <v>1</v>
      </c>
      <c r="FX57" s="15">
        <v>1</v>
      </c>
      <c r="FY57" s="15">
        <v>1</v>
      </c>
      <c r="FZ57" s="15">
        <v>1</v>
      </c>
      <c r="GA57" s="15">
        <v>1</v>
      </c>
      <c r="GB57" s="15">
        <v>1</v>
      </c>
      <c r="GC57" s="15">
        <v>1</v>
      </c>
      <c r="GD57" s="15">
        <v>1</v>
      </c>
      <c r="GE57" s="15">
        <v>0</v>
      </c>
      <c r="GF57" s="15">
        <v>0</v>
      </c>
      <c r="GG57" s="15">
        <v>0</v>
      </c>
      <c r="GH57" s="15">
        <v>0</v>
      </c>
      <c r="GI57" s="15">
        <v>0</v>
      </c>
      <c r="GJ57" s="15">
        <v>1</v>
      </c>
      <c r="GK57" s="15">
        <v>0</v>
      </c>
      <c r="GL57" s="15">
        <v>0</v>
      </c>
      <c r="GM57" s="15">
        <v>0</v>
      </c>
      <c r="GN57" s="15">
        <v>1</v>
      </c>
      <c r="GO57" s="15">
        <v>1</v>
      </c>
      <c r="GP57" s="15">
        <v>0</v>
      </c>
      <c r="GQ57" s="15">
        <v>1</v>
      </c>
      <c r="GR57" s="15">
        <v>1</v>
      </c>
      <c r="GS57" s="15">
        <v>1</v>
      </c>
      <c r="GT57" s="15">
        <v>0</v>
      </c>
      <c r="GU57" s="15">
        <v>1</v>
      </c>
      <c r="GV57" s="15">
        <v>0</v>
      </c>
      <c r="GW57" s="15">
        <v>0</v>
      </c>
      <c r="GX57" s="15">
        <v>0</v>
      </c>
      <c r="GY57" s="15">
        <v>0</v>
      </c>
      <c r="GZ57" s="15">
        <v>0</v>
      </c>
      <c r="HA57" s="15">
        <v>0</v>
      </c>
      <c r="HB57" s="15">
        <v>1</v>
      </c>
      <c r="HC57" s="15">
        <v>0</v>
      </c>
      <c r="HD57" s="15">
        <v>0</v>
      </c>
      <c r="HE57" s="15">
        <v>0</v>
      </c>
      <c r="HF57" s="15">
        <v>0</v>
      </c>
      <c r="HG57" s="15">
        <v>0</v>
      </c>
      <c r="HH57" s="15">
        <v>1</v>
      </c>
      <c r="HI57" s="15">
        <v>1</v>
      </c>
      <c r="HJ57" s="15">
        <v>0</v>
      </c>
      <c r="HK57" s="15">
        <v>0</v>
      </c>
      <c r="HL57" s="15">
        <v>1</v>
      </c>
      <c r="HM57" s="15">
        <v>0</v>
      </c>
      <c r="HN57" s="15">
        <v>0</v>
      </c>
      <c r="HO57" s="15">
        <v>0</v>
      </c>
      <c r="HP57" s="15">
        <v>0</v>
      </c>
      <c r="HQ57" s="15">
        <v>0</v>
      </c>
      <c r="HR57" s="15">
        <v>0</v>
      </c>
      <c r="HS57" s="15">
        <v>0</v>
      </c>
      <c r="HT57" s="15">
        <v>0</v>
      </c>
      <c r="HU57" s="15">
        <v>1</v>
      </c>
      <c r="HV57" s="15">
        <v>0</v>
      </c>
      <c r="HW57" s="15">
        <v>0</v>
      </c>
      <c r="HX57" s="15">
        <v>0</v>
      </c>
      <c r="HY57" s="15"/>
      <c r="HZ57" s="15"/>
      <c r="IA57" s="15"/>
      <c r="IB57" s="15"/>
      <c r="IC57" s="15"/>
      <c r="ID57" s="15"/>
      <c r="IE57" s="15"/>
      <c r="IF57" s="15"/>
      <c r="IG57" s="15"/>
      <c r="IH57" s="15"/>
      <c r="II57" s="15"/>
      <c r="IJ57" s="15"/>
      <c r="IK57" s="15"/>
      <c r="IL57" s="15"/>
      <c r="IM57" s="15"/>
      <c r="IN57" s="15"/>
      <c r="IO57" s="15"/>
      <c r="IP57" s="15"/>
      <c r="IQ57" s="15"/>
      <c r="IR57" s="15"/>
      <c r="IS57" s="15"/>
      <c r="IT57" s="15"/>
      <c r="IU57" s="15"/>
      <c r="IV57" s="15"/>
      <c r="IW57" s="15"/>
      <c r="IX57" s="15"/>
      <c r="IY57" s="15"/>
      <c r="IZ57" s="15"/>
      <c r="JA57" s="15"/>
      <c r="JB57" s="15"/>
      <c r="JC57" s="15"/>
      <c r="JD57" s="15"/>
      <c r="JE57" s="15"/>
      <c r="JF57" s="15"/>
      <c r="JG57" s="15"/>
      <c r="JH57" s="15"/>
      <c r="JI57" s="15"/>
      <c r="JJ57" s="15"/>
      <c r="JK57" s="15"/>
      <c r="JL57" s="15"/>
      <c r="JM57" s="15"/>
      <c r="JN57" s="15"/>
      <c r="JO57" s="15"/>
      <c r="JP57" s="15"/>
      <c r="JQ57" s="15"/>
      <c r="JR57" s="15"/>
      <c r="JS57" s="15"/>
      <c r="JT57" s="15"/>
      <c r="JU57" s="15"/>
      <c r="JV57" s="15"/>
      <c r="JW57" s="15"/>
      <c r="JX57" s="15"/>
      <c r="JY57" s="15"/>
      <c r="JZ57" s="15"/>
      <c r="KA57" s="15"/>
      <c r="KB57" s="15"/>
      <c r="KC57" s="15"/>
      <c r="KD57" s="15"/>
      <c r="KE57" s="15"/>
      <c r="KF57" s="15"/>
      <c r="KI57">
        <v>1</v>
      </c>
      <c r="KJ57">
        <v>0</v>
      </c>
      <c r="KK57">
        <v>1</v>
      </c>
      <c r="KL57">
        <v>0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1</v>
      </c>
      <c r="LA57">
        <v>0</v>
      </c>
      <c r="LB57">
        <v>0</v>
      </c>
      <c r="LC57">
        <v>0</v>
      </c>
      <c r="LD57">
        <v>1</v>
      </c>
      <c r="LE57">
        <v>1</v>
      </c>
      <c r="LF57">
        <v>0</v>
      </c>
      <c r="LG57">
        <v>1</v>
      </c>
      <c r="LH57">
        <v>1</v>
      </c>
      <c r="LI57">
        <v>1</v>
      </c>
      <c r="LJ57">
        <v>0</v>
      </c>
      <c r="LK57">
        <v>1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1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1</v>
      </c>
      <c r="LY57">
        <v>1</v>
      </c>
      <c r="LZ57">
        <v>0</v>
      </c>
      <c r="MA57">
        <v>0</v>
      </c>
      <c r="MB57">
        <v>1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1</v>
      </c>
      <c r="ML57">
        <v>0</v>
      </c>
      <c r="MM57">
        <v>0</v>
      </c>
      <c r="MN57">
        <v>0</v>
      </c>
      <c r="MO57">
        <v>0</v>
      </c>
      <c r="MP57">
        <v>0</v>
      </c>
      <c r="MQ57">
        <f t="shared" si="10"/>
        <v>0</v>
      </c>
      <c r="MR57">
        <f t="shared" si="11"/>
        <v>0</v>
      </c>
    </row>
    <row r="58" spans="1:358" s="39" customFormat="1" ht="18" x14ac:dyDescent="0.25">
      <c r="A58" t="s">
        <v>450</v>
      </c>
      <c r="B58" s="40">
        <v>68</v>
      </c>
      <c r="C58" s="40">
        <v>1</v>
      </c>
      <c r="D58" s="40">
        <v>0</v>
      </c>
      <c r="E58" s="40"/>
      <c r="F58" s="55">
        <v>2313</v>
      </c>
      <c r="G58" s="55"/>
      <c r="H58" s="57">
        <v>0</v>
      </c>
      <c r="I58" s="57">
        <v>0</v>
      </c>
      <c r="J58" s="57"/>
      <c r="K58" s="40"/>
      <c r="L58" s="40"/>
      <c r="M58" s="40"/>
      <c r="N58" s="40">
        <v>0</v>
      </c>
      <c r="O58" s="42">
        <v>44988</v>
      </c>
      <c r="P58" s="64">
        <f t="shared" si="0"/>
        <v>2313</v>
      </c>
      <c r="Q58" s="39">
        <v>1</v>
      </c>
      <c r="R58" s="39">
        <v>1</v>
      </c>
      <c r="S58" s="39">
        <v>0</v>
      </c>
      <c r="T58" s="39">
        <v>60</v>
      </c>
      <c r="U58" s="39">
        <v>0</v>
      </c>
      <c r="V58" s="39">
        <v>1</v>
      </c>
      <c r="W58" s="39">
        <v>0</v>
      </c>
      <c r="X58" s="39">
        <v>1</v>
      </c>
      <c r="Y58" s="39">
        <v>1</v>
      </c>
      <c r="Z58" s="39">
        <v>0</v>
      </c>
      <c r="AA58" s="39">
        <v>0</v>
      </c>
      <c r="AB58" s="39">
        <v>0</v>
      </c>
      <c r="AC58" s="39">
        <v>0</v>
      </c>
      <c r="AD58" s="39">
        <v>0</v>
      </c>
      <c r="AE58" s="39">
        <v>0</v>
      </c>
      <c r="AF58" s="39">
        <v>0</v>
      </c>
      <c r="AG58" s="39">
        <v>0</v>
      </c>
      <c r="AH58" s="39">
        <v>0</v>
      </c>
      <c r="AI58" s="39">
        <v>0</v>
      </c>
      <c r="AJ58" s="39">
        <v>0</v>
      </c>
      <c r="AK58" s="39">
        <v>0</v>
      </c>
      <c r="AL58" s="39">
        <v>0</v>
      </c>
      <c r="AM58" s="39">
        <v>0</v>
      </c>
      <c r="AN58" s="39">
        <v>92</v>
      </c>
      <c r="AO58" s="39">
        <v>156</v>
      </c>
      <c r="AP58" s="39">
        <v>37.799999999999997</v>
      </c>
      <c r="AQ58" s="39">
        <v>36.799999999999997</v>
      </c>
      <c r="AR58" s="39">
        <v>100</v>
      </c>
      <c r="AS58" s="39">
        <v>59</v>
      </c>
      <c r="AT58" s="39">
        <v>2</v>
      </c>
      <c r="AU58">
        <v>0</v>
      </c>
      <c r="AV58" s="39">
        <v>82</v>
      </c>
      <c r="AW58" s="43">
        <v>42675</v>
      </c>
      <c r="AX58" s="43">
        <v>42675</v>
      </c>
      <c r="AY58" s="39">
        <v>0</v>
      </c>
      <c r="AZ58" s="43">
        <v>42675</v>
      </c>
      <c r="BA58" s="39">
        <v>1</v>
      </c>
      <c r="BB58" s="39">
        <v>0</v>
      </c>
      <c r="BC58" s="39">
        <v>0</v>
      </c>
      <c r="BD58" s="39">
        <v>0</v>
      </c>
      <c r="BE58" s="39">
        <v>0</v>
      </c>
      <c r="BF58" s="39">
        <v>0</v>
      </c>
      <c r="BG58" s="39">
        <v>0</v>
      </c>
      <c r="BH58" s="39">
        <v>0</v>
      </c>
      <c r="BI58" s="39">
        <v>0</v>
      </c>
      <c r="BJ58" s="78">
        <v>0</v>
      </c>
      <c r="BK58" s="78">
        <v>1</v>
      </c>
      <c r="BL58" s="78">
        <v>0</v>
      </c>
      <c r="BM58" s="66">
        <v>0</v>
      </c>
      <c r="BN58" s="78">
        <v>0</v>
      </c>
      <c r="BO58" s="78">
        <v>0</v>
      </c>
      <c r="BP58" s="78">
        <v>1</v>
      </c>
      <c r="BQ58">
        <v>0</v>
      </c>
      <c r="BR58" s="78">
        <v>0</v>
      </c>
      <c r="BS58" s="78">
        <v>0</v>
      </c>
      <c r="BT58" s="78">
        <v>0</v>
      </c>
      <c r="BU58" s="78">
        <v>0</v>
      </c>
      <c r="BV58" s="78">
        <v>0</v>
      </c>
      <c r="BW58" s="78">
        <v>0</v>
      </c>
      <c r="BX58" s="66">
        <f t="shared" si="3"/>
        <v>0</v>
      </c>
      <c r="BY58">
        <v>0</v>
      </c>
      <c r="BZ58">
        <f t="shared" si="4"/>
        <v>0</v>
      </c>
      <c r="CA58" s="39">
        <v>0</v>
      </c>
      <c r="CD58" s="39">
        <v>0</v>
      </c>
      <c r="CE58" s="39">
        <v>0</v>
      </c>
      <c r="CF58" s="39">
        <v>0</v>
      </c>
      <c r="CG58" s="39">
        <v>0</v>
      </c>
      <c r="CH58" s="39">
        <v>1</v>
      </c>
      <c r="CI58" s="39">
        <v>1</v>
      </c>
      <c r="CJ58" s="39">
        <v>0</v>
      </c>
      <c r="CK58" s="39">
        <v>0</v>
      </c>
      <c r="CL58" s="39">
        <v>0</v>
      </c>
      <c r="CM58" s="39">
        <v>0</v>
      </c>
      <c r="CN58" s="39">
        <v>0</v>
      </c>
      <c r="CO58">
        <v>1</v>
      </c>
      <c r="CP58" s="39">
        <v>0</v>
      </c>
      <c r="CQ58" s="39">
        <v>0</v>
      </c>
      <c r="CR58" s="39">
        <v>0</v>
      </c>
      <c r="CS58" s="39">
        <v>0</v>
      </c>
      <c r="CT58" s="39">
        <v>0</v>
      </c>
      <c r="CU58" s="39">
        <v>0</v>
      </c>
      <c r="CV58" s="39">
        <v>0</v>
      </c>
      <c r="CW58" s="31"/>
      <c r="CX58" s="39">
        <v>1</v>
      </c>
      <c r="CY58">
        <v>0</v>
      </c>
      <c r="DA58" s="43">
        <v>42678</v>
      </c>
      <c r="DB58" s="66">
        <f t="shared" si="5"/>
        <v>3</v>
      </c>
      <c r="DC58" s="39" t="s">
        <v>1</v>
      </c>
      <c r="DE58" s="43">
        <v>42683</v>
      </c>
      <c r="DF58" s="39">
        <v>6</v>
      </c>
      <c r="DG58" s="43">
        <v>42675</v>
      </c>
      <c r="DH58" s="39">
        <v>10</v>
      </c>
      <c r="DI58" s="39">
        <v>8.9</v>
      </c>
      <c r="DJ58" s="39">
        <v>1.4</v>
      </c>
      <c r="DK58" s="80">
        <v>368</v>
      </c>
      <c r="DM58" s="39">
        <v>62</v>
      </c>
      <c r="DO58" s="39">
        <v>2</v>
      </c>
      <c r="DP58" s="39">
        <v>368</v>
      </c>
      <c r="DR58" s="39">
        <v>65</v>
      </c>
      <c r="DS58" s="39">
        <v>4.0999999999999996</v>
      </c>
      <c r="DW58" s="43">
        <v>42675</v>
      </c>
      <c r="DX58" s="39">
        <v>11.9</v>
      </c>
      <c r="DY58" s="39">
        <v>10.4</v>
      </c>
      <c r="DZ58">
        <v>0</v>
      </c>
      <c r="EA58" s="39">
        <v>11.9</v>
      </c>
      <c r="EB58">
        <v>0</v>
      </c>
      <c r="EC58" s="39">
        <v>1.45</v>
      </c>
      <c r="ED58" s="39">
        <v>0.96</v>
      </c>
      <c r="EE58">
        <v>0</v>
      </c>
      <c r="EF58" s="39">
        <v>1.45</v>
      </c>
      <c r="EG58">
        <v>0</v>
      </c>
      <c r="EH58" s="39">
        <v>155</v>
      </c>
      <c r="EI58" s="62">
        <v>1</v>
      </c>
      <c r="EJ58" s="39">
        <v>155</v>
      </c>
      <c r="EK58">
        <v>0</v>
      </c>
      <c r="EL58">
        <f t="shared" si="6"/>
        <v>0</v>
      </c>
      <c r="EM58" s="39">
        <v>155</v>
      </c>
      <c r="EN58">
        <v>0</v>
      </c>
      <c r="EO58" s="39">
        <v>0.23</v>
      </c>
      <c r="ER58" s="39">
        <v>22</v>
      </c>
      <c r="ET58" s="39">
        <v>48</v>
      </c>
      <c r="EU58" s="39">
        <v>55</v>
      </c>
      <c r="EV58" s="39">
        <v>67</v>
      </c>
      <c r="EW58" s="39">
        <v>118</v>
      </c>
      <c r="EX58" s="39">
        <v>12</v>
      </c>
      <c r="EY58" s="39">
        <v>6</v>
      </c>
      <c r="FC58" s="39">
        <v>1</v>
      </c>
      <c r="FD58" s="39">
        <v>0</v>
      </c>
      <c r="FF58" s="39">
        <v>1</v>
      </c>
      <c r="FG58">
        <v>0</v>
      </c>
      <c r="FK58">
        <v>0</v>
      </c>
      <c r="FL58">
        <v>0</v>
      </c>
      <c r="FM58"/>
      <c r="FN58"/>
      <c r="FO58">
        <v>0</v>
      </c>
      <c r="FQ58" s="44">
        <v>42675</v>
      </c>
      <c r="FR58" s="44" t="s">
        <v>230</v>
      </c>
      <c r="FS58" s="45">
        <v>1</v>
      </c>
      <c r="FT58" s="45">
        <v>0</v>
      </c>
      <c r="FU58" s="45">
        <v>1</v>
      </c>
      <c r="FV58" s="45">
        <v>0</v>
      </c>
      <c r="FW58" s="45">
        <v>1</v>
      </c>
      <c r="FX58" s="45">
        <v>1</v>
      </c>
      <c r="FY58" s="45">
        <v>1</v>
      </c>
      <c r="FZ58" s="45">
        <v>1</v>
      </c>
      <c r="GA58" s="45">
        <v>1</v>
      </c>
      <c r="GB58" s="45">
        <v>1</v>
      </c>
      <c r="GC58" s="45">
        <v>1</v>
      </c>
      <c r="GD58" s="45">
        <v>1</v>
      </c>
      <c r="GE58" s="45">
        <v>0</v>
      </c>
      <c r="GF58" s="45">
        <v>0</v>
      </c>
      <c r="GG58" s="45">
        <v>0</v>
      </c>
      <c r="GH58" s="45">
        <v>0</v>
      </c>
      <c r="GI58" s="45">
        <v>0</v>
      </c>
      <c r="GJ58" s="45">
        <v>0</v>
      </c>
      <c r="GK58" s="45">
        <v>1</v>
      </c>
      <c r="GL58" s="45">
        <v>0</v>
      </c>
      <c r="GM58" s="45">
        <v>0</v>
      </c>
      <c r="GN58" s="45">
        <v>1</v>
      </c>
      <c r="GO58" s="45">
        <v>1</v>
      </c>
      <c r="GP58" s="45">
        <v>0</v>
      </c>
      <c r="GQ58" s="45">
        <v>1</v>
      </c>
      <c r="GR58" s="45">
        <v>1</v>
      </c>
      <c r="GS58" s="45">
        <v>1</v>
      </c>
      <c r="GT58" s="45">
        <v>0</v>
      </c>
      <c r="GU58" s="45">
        <v>1</v>
      </c>
      <c r="GV58" s="45">
        <v>0</v>
      </c>
      <c r="GW58" s="45">
        <v>0</v>
      </c>
      <c r="GX58" s="45">
        <v>0</v>
      </c>
      <c r="GY58" s="15">
        <v>0</v>
      </c>
      <c r="GZ58" s="15">
        <v>0</v>
      </c>
      <c r="HA58" s="45">
        <v>0</v>
      </c>
      <c r="HB58" s="45">
        <v>1</v>
      </c>
      <c r="HC58" s="45">
        <v>0</v>
      </c>
      <c r="HD58" s="45">
        <v>0</v>
      </c>
      <c r="HE58" s="15">
        <v>0</v>
      </c>
      <c r="HF58" s="15">
        <v>0</v>
      </c>
      <c r="HG58" s="45">
        <v>0</v>
      </c>
      <c r="HH58" s="45">
        <v>0</v>
      </c>
      <c r="HI58" s="45">
        <v>1</v>
      </c>
      <c r="HJ58" s="45">
        <v>0</v>
      </c>
      <c r="HK58" s="45">
        <v>0</v>
      </c>
      <c r="HL58" s="45">
        <v>0</v>
      </c>
      <c r="HM58" s="45">
        <v>0</v>
      </c>
      <c r="HN58" s="45">
        <v>0</v>
      </c>
      <c r="HO58" s="45">
        <v>1</v>
      </c>
      <c r="HP58" s="45">
        <v>0</v>
      </c>
      <c r="HQ58" s="45">
        <v>0</v>
      </c>
      <c r="HR58" s="45">
        <v>0</v>
      </c>
      <c r="HS58" s="45">
        <v>0</v>
      </c>
      <c r="HT58" s="45">
        <v>0</v>
      </c>
      <c r="HU58" s="45">
        <v>0</v>
      </c>
      <c r="HV58" s="45">
        <v>0</v>
      </c>
      <c r="HW58" s="45">
        <v>1</v>
      </c>
      <c r="HX58" s="45">
        <v>0</v>
      </c>
      <c r="HY58" s="44">
        <v>42681</v>
      </c>
      <c r="HZ58" s="45" t="s">
        <v>230</v>
      </c>
      <c r="IA58" s="45">
        <v>1</v>
      </c>
      <c r="IB58" s="45">
        <v>1</v>
      </c>
      <c r="IC58" s="45">
        <v>1</v>
      </c>
      <c r="ID58" s="45">
        <v>0</v>
      </c>
      <c r="IE58" s="45">
        <v>1</v>
      </c>
      <c r="IF58" s="45">
        <v>1</v>
      </c>
      <c r="IG58" s="45">
        <v>1</v>
      </c>
      <c r="IH58" s="45">
        <v>1</v>
      </c>
      <c r="II58" s="45">
        <v>1</v>
      </c>
      <c r="IJ58" s="45">
        <v>1</v>
      </c>
      <c r="IK58" s="45">
        <v>1</v>
      </c>
      <c r="IL58" s="45">
        <v>1</v>
      </c>
      <c r="IM58" s="45">
        <v>0</v>
      </c>
      <c r="IN58" s="45">
        <v>0</v>
      </c>
      <c r="IO58" s="45">
        <v>0</v>
      </c>
      <c r="IP58" s="45">
        <v>0</v>
      </c>
      <c r="IQ58" s="45">
        <v>0</v>
      </c>
      <c r="IR58" s="45">
        <v>0</v>
      </c>
      <c r="IS58" s="45">
        <v>1</v>
      </c>
      <c r="IT58" s="45">
        <v>0</v>
      </c>
      <c r="IU58" s="45">
        <v>0</v>
      </c>
      <c r="IV58" s="45">
        <v>1</v>
      </c>
      <c r="IW58" s="45">
        <v>1</v>
      </c>
      <c r="IX58" s="45">
        <v>0</v>
      </c>
      <c r="IY58" s="45">
        <v>1</v>
      </c>
      <c r="IZ58" s="45">
        <v>1</v>
      </c>
      <c r="JA58" s="45">
        <v>1</v>
      </c>
      <c r="JB58" s="45">
        <v>1</v>
      </c>
      <c r="JC58" s="45">
        <v>1</v>
      </c>
      <c r="JD58" s="45">
        <v>0</v>
      </c>
      <c r="JE58" s="45">
        <v>0</v>
      </c>
      <c r="JF58" s="45">
        <v>0</v>
      </c>
      <c r="JG58" s="15">
        <v>0</v>
      </c>
      <c r="JH58" s="15">
        <v>0</v>
      </c>
      <c r="JI58" s="45">
        <v>0</v>
      </c>
      <c r="JJ58" s="45">
        <v>1</v>
      </c>
      <c r="JK58" s="45">
        <v>0</v>
      </c>
      <c r="JL58" s="45">
        <v>0</v>
      </c>
      <c r="JM58" s="15">
        <v>0</v>
      </c>
      <c r="JN58" s="15">
        <v>0</v>
      </c>
      <c r="JO58" s="45">
        <v>0</v>
      </c>
      <c r="JP58" s="45">
        <v>0</v>
      </c>
      <c r="JQ58" s="45">
        <v>1</v>
      </c>
      <c r="JR58" s="45">
        <v>0</v>
      </c>
      <c r="JS58" s="45">
        <v>0</v>
      </c>
      <c r="JT58" s="45">
        <v>1</v>
      </c>
      <c r="JU58" s="45">
        <v>0</v>
      </c>
      <c r="JV58" s="45">
        <v>0</v>
      </c>
      <c r="JW58" s="45">
        <v>1</v>
      </c>
      <c r="JX58" s="45">
        <v>0</v>
      </c>
      <c r="JY58" s="45">
        <v>0</v>
      </c>
      <c r="JZ58" s="45">
        <v>0</v>
      </c>
      <c r="KA58" s="45">
        <v>0</v>
      </c>
      <c r="KB58" s="45">
        <v>1</v>
      </c>
      <c r="KC58" s="45">
        <v>1</v>
      </c>
      <c r="KD58" s="45">
        <v>0</v>
      </c>
      <c r="KE58" s="45">
        <v>1</v>
      </c>
      <c r="KF58" s="45">
        <v>0</v>
      </c>
      <c r="KG58"/>
      <c r="KH58"/>
      <c r="KI58">
        <v>1</v>
      </c>
      <c r="KJ58">
        <v>1</v>
      </c>
      <c r="KK58">
        <v>1</v>
      </c>
      <c r="KL58">
        <v>0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1</v>
      </c>
      <c r="LB58">
        <v>0</v>
      </c>
      <c r="LC58">
        <v>0</v>
      </c>
      <c r="LD58">
        <v>1</v>
      </c>
      <c r="LE58">
        <v>1</v>
      </c>
      <c r="LF58">
        <v>0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1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1</v>
      </c>
      <c r="LZ58">
        <v>0</v>
      </c>
      <c r="MA58">
        <v>0</v>
      </c>
      <c r="MB58">
        <v>1</v>
      </c>
      <c r="MC58">
        <v>0</v>
      </c>
      <c r="MD58">
        <v>0</v>
      </c>
      <c r="ME58">
        <v>1</v>
      </c>
      <c r="MF58">
        <v>0</v>
      </c>
      <c r="MG58">
        <v>0</v>
      </c>
      <c r="MH58">
        <v>0</v>
      </c>
      <c r="MI58">
        <v>0</v>
      </c>
      <c r="MJ58">
        <v>1</v>
      </c>
      <c r="MK58">
        <v>1</v>
      </c>
      <c r="ML58">
        <v>0</v>
      </c>
      <c r="MM58">
        <v>1</v>
      </c>
      <c r="MN58">
        <v>0</v>
      </c>
      <c r="MO58">
        <v>0</v>
      </c>
      <c r="MP58">
        <v>0</v>
      </c>
      <c r="MQ58">
        <f t="shared" si="10"/>
        <v>0</v>
      </c>
      <c r="MR58">
        <f t="shared" si="11"/>
        <v>0</v>
      </c>
    </row>
    <row r="59" spans="1:358" ht="18" x14ac:dyDescent="0.25">
      <c r="A59" t="s">
        <v>451</v>
      </c>
      <c r="B59" s="3">
        <v>37</v>
      </c>
      <c r="C59" s="3">
        <v>0</v>
      </c>
      <c r="D59" s="3">
        <v>0</v>
      </c>
      <c r="E59" s="3"/>
      <c r="F59" s="55">
        <v>263</v>
      </c>
      <c r="G59" s="55"/>
      <c r="H59" s="57">
        <v>0</v>
      </c>
      <c r="I59" s="57">
        <v>0</v>
      </c>
      <c r="J59" s="57"/>
      <c r="K59" s="3"/>
      <c r="L59" s="3"/>
      <c r="M59" s="3"/>
      <c r="N59" s="3">
        <v>0</v>
      </c>
      <c r="O59" s="2">
        <v>44908</v>
      </c>
      <c r="P59" s="64">
        <f t="shared" si="0"/>
        <v>263</v>
      </c>
      <c r="Q59">
        <v>3</v>
      </c>
      <c r="R59">
        <v>1</v>
      </c>
      <c r="S59">
        <v>0</v>
      </c>
      <c r="T59">
        <v>75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85</v>
      </c>
      <c r="AO59">
        <v>188</v>
      </c>
      <c r="AP59">
        <v>24.1</v>
      </c>
      <c r="AQ59">
        <v>36.299999999999997</v>
      </c>
      <c r="AR59">
        <v>125</v>
      </c>
      <c r="AS59">
        <v>83</v>
      </c>
      <c r="AT59">
        <v>1</v>
      </c>
      <c r="AU59">
        <v>0</v>
      </c>
      <c r="AV59">
        <v>129</v>
      </c>
      <c r="AW59" s="1">
        <v>44645</v>
      </c>
      <c r="AX59" s="1">
        <v>44645</v>
      </c>
      <c r="AY59">
        <v>0</v>
      </c>
      <c r="AZ59" s="1">
        <v>44627</v>
      </c>
      <c r="BA59">
        <v>1</v>
      </c>
      <c r="BB59">
        <v>0</v>
      </c>
      <c r="BC59">
        <v>1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1</v>
      </c>
      <c r="BJ59">
        <v>0</v>
      </c>
      <c r="BK59">
        <v>0</v>
      </c>
      <c r="BL59">
        <v>0</v>
      </c>
      <c r="BM59" s="66">
        <v>0</v>
      </c>
      <c r="BN59">
        <v>0</v>
      </c>
      <c r="BO59">
        <v>0</v>
      </c>
      <c r="BP59" s="66">
        <f t="shared" ref="BP59:BP62" si="26">BJ59+BK59+BL59+BM59+BN59+BO59</f>
        <v>0</v>
      </c>
      <c r="BQ59">
        <v>0</v>
      </c>
      <c r="BR59">
        <v>0</v>
      </c>
      <c r="BS59">
        <v>0</v>
      </c>
      <c r="BT59">
        <v>0</v>
      </c>
      <c r="BU59" s="66">
        <f t="shared" ref="BU59:BU62" si="27">BM59</f>
        <v>0</v>
      </c>
      <c r="BV59">
        <v>0</v>
      </c>
      <c r="BW59">
        <v>0</v>
      </c>
      <c r="BX59" s="66">
        <f t="shared" si="3"/>
        <v>0</v>
      </c>
      <c r="BY59">
        <v>0</v>
      </c>
      <c r="BZ59">
        <f t="shared" si="4"/>
        <v>0</v>
      </c>
      <c r="CA59">
        <v>0</v>
      </c>
      <c r="CB59">
        <v>0</v>
      </c>
      <c r="CC59">
        <v>2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f t="shared" si="7"/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1</v>
      </c>
      <c r="CY59">
        <v>0</v>
      </c>
      <c r="DA59" s="1">
        <v>44645</v>
      </c>
      <c r="DB59" s="66">
        <f t="shared" si="5"/>
        <v>18</v>
      </c>
      <c r="DC59" t="s">
        <v>1</v>
      </c>
      <c r="DD59">
        <v>0</v>
      </c>
      <c r="DE59" s="1">
        <v>44651</v>
      </c>
      <c r="DF59">
        <v>6</v>
      </c>
      <c r="DG59" s="1">
        <v>44645</v>
      </c>
      <c r="DH59">
        <v>13</v>
      </c>
      <c r="DI59">
        <v>13.1</v>
      </c>
      <c r="DJ59">
        <v>0.9</v>
      </c>
      <c r="DK59" s="66">
        <v>418</v>
      </c>
      <c r="DL59">
        <v>7</v>
      </c>
      <c r="DM59">
        <v>74</v>
      </c>
      <c r="DO59">
        <v>2</v>
      </c>
      <c r="DP59">
        <v>418</v>
      </c>
      <c r="DR59">
        <v>75</v>
      </c>
      <c r="DS59">
        <v>5.0999999999999996</v>
      </c>
      <c r="DU59">
        <v>49</v>
      </c>
      <c r="DW59" s="1">
        <v>44645</v>
      </c>
      <c r="DX59">
        <v>15</v>
      </c>
      <c r="DY59">
        <v>10</v>
      </c>
      <c r="DZ59">
        <v>0</v>
      </c>
      <c r="EA59">
        <v>15</v>
      </c>
      <c r="EB59">
        <v>1</v>
      </c>
      <c r="EC59">
        <v>1.3</v>
      </c>
      <c r="ED59">
        <v>1.2</v>
      </c>
      <c r="EE59">
        <v>0</v>
      </c>
      <c r="EF59">
        <v>1.3</v>
      </c>
      <c r="EG59">
        <v>0</v>
      </c>
      <c r="EH59">
        <v>426</v>
      </c>
      <c r="EI59" s="62">
        <v>0.62206572769953095</v>
      </c>
      <c r="EJ59">
        <v>265</v>
      </c>
      <c r="EK59" s="39">
        <v>1</v>
      </c>
      <c r="EL59">
        <f t="shared" si="6"/>
        <v>-161</v>
      </c>
      <c r="EM59">
        <v>426</v>
      </c>
      <c r="EN59" s="39">
        <v>1</v>
      </c>
      <c r="EO59">
        <v>1</v>
      </c>
      <c r="ER59">
        <v>25</v>
      </c>
      <c r="ES59">
        <v>48</v>
      </c>
      <c r="ET59">
        <v>46</v>
      </c>
      <c r="EU59">
        <v>72</v>
      </c>
      <c r="EV59">
        <v>158</v>
      </c>
      <c r="EW59">
        <v>183</v>
      </c>
      <c r="EX59">
        <v>9</v>
      </c>
      <c r="EY59">
        <v>5</v>
      </c>
      <c r="EZ59">
        <v>265</v>
      </c>
      <c r="FB59">
        <v>1</v>
      </c>
      <c r="FC59">
        <v>1</v>
      </c>
      <c r="FD59">
        <v>0</v>
      </c>
      <c r="FF59">
        <v>1</v>
      </c>
      <c r="FG59">
        <v>0</v>
      </c>
      <c r="FI59"/>
      <c r="FK59">
        <v>0</v>
      </c>
      <c r="FL59">
        <v>0</v>
      </c>
      <c r="FO59">
        <v>0</v>
      </c>
      <c r="FQ59" s="22">
        <v>44644</v>
      </c>
      <c r="FR59" s="15" t="s">
        <v>230</v>
      </c>
      <c r="FS59" s="15">
        <v>1</v>
      </c>
      <c r="FT59" s="15">
        <v>1</v>
      </c>
      <c r="FU59" s="15">
        <v>1</v>
      </c>
      <c r="FV59" s="15">
        <v>0</v>
      </c>
      <c r="FW59" s="15">
        <v>1</v>
      </c>
      <c r="FX59" s="15">
        <v>0</v>
      </c>
      <c r="FY59" s="15">
        <v>0</v>
      </c>
      <c r="FZ59" s="15">
        <v>0</v>
      </c>
      <c r="GA59" s="15">
        <v>0</v>
      </c>
      <c r="GB59" s="15">
        <v>1</v>
      </c>
      <c r="GC59" s="15">
        <v>1</v>
      </c>
      <c r="GD59" s="15">
        <v>1</v>
      </c>
      <c r="GE59" s="15">
        <v>0</v>
      </c>
      <c r="GF59" s="15">
        <v>0</v>
      </c>
      <c r="GG59" s="15">
        <v>0</v>
      </c>
      <c r="GH59" s="15">
        <v>0</v>
      </c>
      <c r="GI59" s="15">
        <v>1</v>
      </c>
      <c r="GJ59" s="15">
        <v>0</v>
      </c>
      <c r="GK59" s="15">
        <v>0</v>
      </c>
      <c r="GL59" s="15">
        <v>1</v>
      </c>
      <c r="GM59" s="15">
        <v>0</v>
      </c>
      <c r="GN59" s="15">
        <v>0</v>
      </c>
      <c r="GO59" s="15">
        <v>0</v>
      </c>
      <c r="GP59" s="15">
        <v>0</v>
      </c>
      <c r="GQ59" s="15">
        <v>0</v>
      </c>
      <c r="GR59" s="15">
        <v>0</v>
      </c>
      <c r="GS59" s="15">
        <v>0</v>
      </c>
      <c r="GT59" s="15">
        <v>0</v>
      </c>
      <c r="GU59" s="15">
        <v>1</v>
      </c>
      <c r="GV59" s="15">
        <v>0</v>
      </c>
      <c r="GW59" s="15">
        <v>0</v>
      </c>
      <c r="GX59" s="15">
        <v>0</v>
      </c>
      <c r="GY59" s="15">
        <v>0</v>
      </c>
      <c r="GZ59" s="15">
        <v>0</v>
      </c>
      <c r="HA59" s="15">
        <v>0</v>
      </c>
      <c r="HB59" s="15">
        <v>1</v>
      </c>
      <c r="HC59" s="15">
        <v>0</v>
      </c>
      <c r="HD59" s="15">
        <v>0</v>
      </c>
      <c r="HE59" s="15">
        <v>0</v>
      </c>
      <c r="HF59" s="15">
        <v>0</v>
      </c>
      <c r="HG59" s="15">
        <v>0</v>
      </c>
      <c r="HH59" s="15">
        <v>1</v>
      </c>
      <c r="HI59" s="15">
        <v>1</v>
      </c>
      <c r="HJ59" s="15">
        <v>0</v>
      </c>
      <c r="HK59" s="15">
        <v>0</v>
      </c>
      <c r="HL59" s="15">
        <v>1</v>
      </c>
      <c r="HM59" s="15">
        <v>0</v>
      </c>
      <c r="HN59" s="15">
        <v>1</v>
      </c>
      <c r="HO59" s="15">
        <v>1</v>
      </c>
      <c r="HP59" s="15">
        <v>0</v>
      </c>
      <c r="HQ59" s="15">
        <v>0</v>
      </c>
      <c r="HR59" s="15">
        <v>0</v>
      </c>
      <c r="HS59" s="15">
        <v>0</v>
      </c>
      <c r="HT59" s="15">
        <v>1</v>
      </c>
      <c r="HU59" s="15">
        <v>1</v>
      </c>
      <c r="HV59" s="15">
        <v>0</v>
      </c>
      <c r="HW59" s="15">
        <v>0</v>
      </c>
      <c r="HX59" s="15">
        <v>0</v>
      </c>
      <c r="HY59" s="22">
        <v>44651</v>
      </c>
      <c r="HZ59" s="15" t="s">
        <v>231</v>
      </c>
      <c r="IA59" s="15">
        <v>0</v>
      </c>
      <c r="IB59" s="15">
        <v>0</v>
      </c>
      <c r="IC59" s="15">
        <v>1</v>
      </c>
      <c r="ID59" s="15">
        <v>0</v>
      </c>
      <c r="IE59" s="15">
        <v>1</v>
      </c>
      <c r="IF59" s="15">
        <v>0</v>
      </c>
      <c r="IG59" s="15">
        <v>0</v>
      </c>
      <c r="IH59" s="15">
        <v>0</v>
      </c>
      <c r="II59" s="15">
        <v>0</v>
      </c>
      <c r="IJ59" s="15">
        <v>0</v>
      </c>
      <c r="IK59" s="15">
        <v>1</v>
      </c>
      <c r="IL59" s="15">
        <v>1</v>
      </c>
      <c r="IM59" s="15">
        <v>0</v>
      </c>
      <c r="IN59" s="15">
        <v>0</v>
      </c>
      <c r="IO59" s="15">
        <v>0</v>
      </c>
      <c r="IP59" s="15">
        <v>0</v>
      </c>
      <c r="IQ59" s="15">
        <v>1</v>
      </c>
      <c r="IR59" s="15">
        <v>0</v>
      </c>
      <c r="IS59" s="15">
        <v>0</v>
      </c>
      <c r="IT59" s="15">
        <v>1</v>
      </c>
      <c r="IU59" s="15">
        <v>0</v>
      </c>
      <c r="IV59" s="15">
        <v>0</v>
      </c>
      <c r="IW59" s="15">
        <v>0</v>
      </c>
      <c r="IX59" s="15">
        <v>0</v>
      </c>
      <c r="IY59" s="15">
        <v>0</v>
      </c>
      <c r="IZ59" s="15">
        <v>0</v>
      </c>
      <c r="JA59" s="15">
        <v>0</v>
      </c>
      <c r="JB59" s="15">
        <v>0</v>
      </c>
      <c r="JC59" s="15">
        <v>1</v>
      </c>
      <c r="JD59" s="15">
        <v>0</v>
      </c>
      <c r="JE59" s="15">
        <v>0</v>
      </c>
      <c r="JF59" s="15">
        <v>0</v>
      </c>
      <c r="JG59" s="15">
        <v>0</v>
      </c>
      <c r="JH59" s="15">
        <v>0</v>
      </c>
      <c r="JI59" s="15">
        <v>0</v>
      </c>
      <c r="JJ59" s="15">
        <v>1</v>
      </c>
      <c r="JK59" s="15">
        <v>0</v>
      </c>
      <c r="JL59" s="15">
        <v>0</v>
      </c>
      <c r="JM59" s="15">
        <v>0</v>
      </c>
      <c r="JN59" s="15">
        <v>0</v>
      </c>
      <c r="JO59" s="15">
        <v>0</v>
      </c>
      <c r="JP59" s="15">
        <v>0</v>
      </c>
      <c r="JQ59" s="15">
        <v>1</v>
      </c>
      <c r="JR59" s="15">
        <v>0</v>
      </c>
      <c r="JS59" s="15">
        <v>0</v>
      </c>
      <c r="JT59" s="15">
        <v>1</v>
      </c>
      <c r="JU59" s="15">
        <v>0</v>
      </c>
      <c r="JV59" s="15">
        <v>1</v>
      </c>
      <c r="JW59" s="15">
        <v>1</v>
      </c>
      <c r="JX59" s="15">
        <v>0</v>
      </c>
      <c r="JY59" s="15">
        <v>0</v>
      </c>
      <c r="JZ59" s="15">
        <v>0</v>
      </c>
      <c r="KA59" s="15">
        <v>0</v>
      </c>
      <c r="KB59" s="15">
        <v>0</v>
      </c>
      <c r="KC59" s="15">
        <v>1</v>
      </c>
      <c r="KD59" s="15">
        <v>0</v>
      </c>
      <c r="KE59" s="15">
        <v>0</v>
      </c>
      <c r="KF59" s="15">
        <v>0</v>
      </c>
      <c r="KI59">
        <v>1</v>
      </c>
      <c r="KJ59">
        <v>1</v>
      </c>
      <c r="KK59">
        <v>1</v>
      </c>
      <c r="KL59">
        <v>0</v>
      </c>
      <c r="KM59">
        <v>1</v>
      </c>
      <c r="KN59">
        <v>0</v>
      </c>
      <c r="KO59">
        <v>0</v>
      </c>
      <c r="KP59">
        <v>0</v>
      </c>
      <c r="KQ59">
        <v>0</v>
      </c>
      <c r="KR59">
        <v>1</v>
      </c>
      <c r="KS59">
        <v>1</v>
      </c>
      <c r="KT59">
        <v>1</v>
      </c>
      <c r="KU59">
        <v>0</v>
      </c>
      <c r="KV59">
        <v>0</v>
      </c>
      <c r="KW59">
        <v>0</v>
      </c>
      <c r="KX59">
        <v>0</v>
      </c>
      <c r="KY59">
        <v>1</v>
      </c>
      <c r="KZ59">
        <v>0</v>
      </c>
      <c r="LA59">
        <v>0</v>
      </c>
      <c r="LB59">
        <v>1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1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1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1</v>
      </c>
      <c r="LY59">
        <v>1</v>
      </c>
      <c r="LZ59">
        <v>0</v>
      </c>
      <c r="MA59">
        <v>0</v>
      </c>
      <c r="MB59">
        <v>1</v>
      </c>
      <c r="MC59">
        <v>0</v>
      </c>
      <c r="MD59">
        <v>1</v>
      </c>
      <c r="ME59">
        <v>1</v>
      </c>
      <c r="MF59">
        <v>0</v>
      </c>
      <c r="MG59">
        <v>0</v>
      </c>
      <c r="MH59">
        <v>0</v>
      </c>
      <c r="MI59">
        <v>0</v>
      </c>
      <c r="MJ59">
        <v>1</v>
      </c>
      <c r="MK59">
        <v>1</v>
      </c>
      <c r="ML59">
        <v>0</v>
      </c>
      <c r="MM59">
        <v>0</v>
      </c>
      <c r="MN59">
        <v>0</v>
      </c>
      <c r="MO59">
        <v>0</v>
      </c>
      <c r="MP59">
        <v>0</v>
      </c>
      <c r="MQ59">
        <f t="shared" si="10"/>
        <v>0</v>
      </c>
      <c r="MR59">
        <f t="shared" si="11"/>
        <v>0</v>
      </c>
      <c r="MT59">
        <v>0</v>
      </c>
    </row>
    <row r="60" spans="1:358" ht="18" x14ac:dyDescent="0.25">
      <c r="A60" t="s">
        <v>452</v>
      </c>
      <c r="B60" s="3">
        <v>31</v>
      </c>
      <c r="C60" s="3">
        <v>0</v>
      </c>
      <c r="D60" s="3">
        <v>0</v>
      </c>
      <c r="E60" s="3"/>
      <c r="F60" s="55">
        <v>629</v>
      </c>
      <c r="G60" s="55"/>
      <c r="H60" s="57">
        <v>0</v>
      </c>
      <c r="I60" s="57">
        <v>0</v>
      </c>
      <c r="J60" s="57"/>
      <c r="K60" s="3"/>
      <c r="L60" s="3"/>
      <c r="M60" s="3"/>
      <c r="N60" s="3">
        <v>0</v>
      </c>
      <c r="O60" s="2">
        <v>45040</v>
      </c>
      <c r="P60" s="64">
        <f t="shared" si="0"/>
        <v>629</v>
      </c>
      <c r="Q60">
        <v>3</v>
      </c>
      <c r="R60">
        <v>0</v>
      </c>
      <c r="S60">
        <v>1</v>
      </c>
      <c r="T60">
        <v>75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96</v>
      </c>
      <c r="AO60">
        <v>161</v>
      </c>
      <c r="AP60">
        <v>37</v>
      </c>
      <c r="AQ60">
        <v>37.6</v>
      </c>
      <c r="AR60">
        <v>148</v>
      </c>
      <c r="AS60">
        <v>106</v>
      </c>
      <c r="AT60">
        <v>3</v>
      </c>
      <c r="AU60">
        <v>1</v>
      </c>
      <c r="AV60">
        <v>96</v>
      </c>
      <c r="AW60" s="1">
        <v>44411</v>
      </c>
      <c r="AX60" s="1">
        <v>44411</v>
      </c>
      <c r="AY60">
        <v>0</v>
      </c>
      <c r="AZ60" s="1">
        <v>44409</v>
      </c>
      <c r="BA60">
        <v>1</v>
      </c>
      <c r="BB60">
        <v>1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 s="66">
        <v>0</v>
      </c>
      <c r="BN60">
        <v>0</v>
      </c>
      <c r="BO60">
        <v>0</v>
      </c>
      <c r="BP60" s="66">
        <f t="shared" si="26"/>
        <v>0</v>
      </c>
      <c r="BQ60">
        <v>0</v>
      </c>
      <c r="BR60">
        <v>0</v>
      </c>
      <c r="BS60">
        <v>0</v>
      </c>
      <c r="BT60">
        <v>0</v>
      </c>
      <c r="BU60" s="66">
        <f t="shared" si="27"/>
        <v>0</v>
      </c>
      <c r="BV60">
        <v>0</v>
      </c>
      <c r="BW60">
        <v>0</v>
      </c>
      <c r="BX60" s="66">
        <f t="shared" si="3"/>
        <v>0</v>
      </c>
      <c r="BY60">
        <v>0</v>
      </c>
      <c r="BZ60">
        <f t="shared" si="4"/>
        <v>0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f t="shared" si="7"/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1</v>
      </c>
      <c r="CY60">
        <v>0</v>
      </c>
      <c r="DA60" s="1">
        <v>44413</v>
      </c>
      <c r="DB60" s="66">
        <f t="shared" si="5"/>
        <v>4</v>
      </c>
      <c r="DC60" t="s">
        <v>1</v>
      </c>
      <c r="DD60">
        <v>0</v>
      </c>
      <c r="DE60" s="1">
        <v>44420</v>
      </c>
      <c r="DF60">
        <v>8</v>
      </c>
      <c r="DG60" s="1">
        <v>44413</v>
      </c>
      <c r="DH60">
        <v>16</v>
      </c>
      <c r="DI60">
        <v>9.3000000000000007</v>
      </c>
      <c r="DJ60">
        <v>2.2000000000000002</v>
      </c>
      <c r="DK60" s="66">
        <v>279</v>
      </c>
      <c r="DL60">
        <v>6.98</v>
      </c>
      <c r="DM60">
        <v>82</v>
      </c>
      <c r="DO60">
        <v>1</v>
      </c>
      <c r="DP60">
        <v>284</v>
      </c>
      <c r="DR60">
        <v>100</v>
      </c>
      <c r="DS60">
        <v>5.0999999999999996</v>
      </c>
      <c r="DW60" s="1">
        <v>44411</v>
      </c>
      <c r="DX60">
        <v>12.4</v>
      </c>
      <c r="DY60">
        <v>7.9</v>
      </c>
      <c r="DZ60">
        <v>0</v>
      </c>
      <c r="EA60">
        <v>12</v>
      </c>
      <c r="EB60">
        <v>0</v>
      </c>
      <c r="EC60">
        <v>1.3</v>
      </c>
      <c r="ED60">
        <f t="shared" ref="ED60:ED62" si="28">EF60</f>
        <v>1.3</v>
      </c>
      <c r="EE60">
        <v>0</v>
      </c>
      <c r="EF60">
        <v>1.3</v>
      </c>
      <c r="EG60">
        <v>0</v>
      </c>
      <c r="EH60">
        <v>294</v>
      </c>
      <c r="EI60" s="62">
        <v>0.56462585034013602</v>
      </c>
      <c r="EJ60">
        <v>166</v>
      </c>
      <c r="EK60">
        <v>0</v>
      </c>
      <c r="EL60">
        <f t="shared" si="6"/>
        <v>-128</v>
      </c>
      <c r="EM60">
        <v>294</v>
      </c>
      <c r="EN60" s="39">
        <v>1</v>
      </c>
      <c r="EO60">
        <v>0</v>
      </c>
      <c r="ER60">
        <v>28</v>
      </c>
      <c r="ET60">
        <v>21</v>
      </c>
      <c r="EU60">
        <v>13</v>
      </c>
      <c r="EV60">
        <v>40</v>
      </c>
      <c r="EW60">
        <v>82</v>
      </c>
      <c r="EX60">
        <v>13</v>
      </c>
      <c r="EY60">
        <v>7</v>
      </c>
      <c r="FB60">
        <v>0</v>
      </c>
      <c r="FC60">
        <v>1</v>
      </c>
      <c r="FD60">
        <v>0</v>
      </c>
      <c r="FF60">
        <v>1</v>
      </c>
      <c r="FG60">
        <v>1</v>
      </c>
      <c r="FH60" s="1">
        <v>44414</v>
      </c>
      <c r="FI60" s="1"/>
      <c r="FJ60" s="1"/>
      <c r="FK60">
        <v>0</v>
      </c>
      <c r="FL60">
        <v>0</v>
      </c>
      <c r="FO60">
        <v>0</v>
      </c>
      <c r="FQ60" s="22">
        <v>44411</v>
      </c>
      <c r="FR60" s="15" t="s">
        <v>230</v>
      </c>
      <c r="FS60" s="15">
        <v>0</v>
      </c>
      <c r="FT60" s="15">
        <v>0</v>
      </c>
      <c r="FU60" s="15">
        <v>1</v>
      </c>
      <c r="FV60" s="15">
        <v>0</v>
      </c>
      <c r="FW60" s="15">
        <v>1</v>
      </c>
      <c r="FX60" s="15">
        <v>0</v>
      </c>
      <c r="FY60" s="15">
        <v>0</v>
      </c>
      <c r="FZ60" s="15">
        <v>0</v>
      </c>
      <c r="GA60" s="15">
        <v>1</v>
      </c>
      <c r="GB60" s="15">
        <v>0</v>
      </c>
      <c r="GC60" s="15">
        <v>1</v>
      </c>
      <c r="GD60" s="15">
        <v>1</v>
      </c>
      <c r="GE60" s="15">
        <v>1</v>
      </c>
      <c r="GF60" s="15">
        <v>0</v>
      </c>
      <c r="GG60" s="15">
        <v>0</v>
      </c>
      <c r="GH60" s="15">
        <v>0</v>
      </c>
      <c r="GI60" s="15">
        <v>1</v>
      </c>
      <c r="GJ60" s="15">
        <v>0</v>
      </c>
      <c r="GK60" s="15">
        <v>0</v>
      </c>
      <c r="GL60" s="15">
        <v>0</v>
      </c>
      <c r="GM60" s="15">
        <v>1</v>
      </c>
      <c r="GN60" s="15">
        <v>0</v>
      </c>
      <c r="GO60" s="15">
        <v>1</v>
      </c>
      <c r="GP60" s="15">
        <v>1</v>
      </c>
      <c r="GQ60" s="15">
        <v>0</v>
      </c>
      <c r="GR60" s="15">
        <v>1</v>
      </c>
      <c r="GS60" s="15">
        <v>0</v>
      </c>
      <c r="GT60" s="15">
        <v>0</v>
      </c>
      <c r="GU60" s="15">
        <v>1</v>
      </c>
      <c r="GV60" s="15">
        <v>0</v>
      </c>
      <c r="GW60" s="15">
        <v>0</v>
      </c>
      <c r="GX60" s="15">
        <v>0</v>
      </c>
      <c r="GY60" s="15">
        <v>0</v>
      </c>
      <c r="GZ60" s="15">
        <v>0</v>
      </c>
      <c r="HA60" s="15">
        <v>0</v>
      </c>
      <c r="HB60" s="15">
        <v>1</v>
      </c>
      <c r="HC60" s="15">
        <v>0</v>
      </c>
      <c r="HD60" s="15">
        <v>0</v>
      </c>
      <c r="HE60" s="15">
        <v>0</v>
      </c>
      <c r="HF60" s="15">
        <v>0</v>
      </c>
      <c r="HG60" s="15">
        <v>0</v>
      </c>
      <c r="HH60" s="15">
        <v>1</v>
      </c>
      <c r="HI60" s="15">
        <v>1</v>
      </c>
      <c r="HJ60" s="15">
        <v>1</v>
      </c>
      <c r="HK60" s="15">
        <v>0</v>
      </c>
      <c r="HL60" s="15">
        <v>1</v>
      </c>
      <c r="HM60" s="15"/>
      <c r="HN60" s="15">
        <v>1</v>
      </c>
      <c r="HO60" s="15">
        <v>1</v>
      </c>
      <c r="HP60" s="15">
        <v>0</v>
      </c>
      <c r="HQ60" s="15">
        <v>0</v>
      </c>
      <c r="HR60" s="15">
        <v>0</v>
      </c>
      <c r="HS60" s="15">
        <v>0</v>
      </c>
      <c r="HT60" s="15">
        <v>1</v>
      </c>
      <c r="HU60" s="15">
        <v>1</v>
      </c>
      <c r="HV60" s="15">
        <v>0</v>
      </c>
      <c r="HW60" s="15">
        <v>0</v>
      </c>
      <c r="HX60" s="15">
        <v>0</v>
      </c>
      <c r="HY60" s="22">
        <v>44414</v>
      </c>
      <c r="HZ60" s="15" t="s">
        <v>231</v>
      </c>
      <c r="IA60" s="15">
        <v>0</v>
      </c>
      <c r="IB60" s="15">
        <v>0</v>
      </c>
      <c r="IC60" s="15">
        <v>1</v>
      </c>
      <c r="ID60" s="15">
        <v>0</v>
      </c>
      <c r="IE60" s="15">
        <v>1</v>
      </c>
      <c r="IF60" s="15">
        <v>0</v>
      </c>
      <c r="IG60" s="15">
        <v>0</v>
      </c>
      <c r="IH60" s="15">
        <v>0</v>
      </c>
      <c r="II60" s="15">
        <v>1</v>
      </c>
      <c r="IJ60" s="15">
        <v>0</v>
      </c>
      <c r="IK60" s="15">
        <v>1</v>
      </c>
      <c r="IL60" s="15">
        <v>1</v>
      </c>
      <c r="IM60" s="15">
        <v>1</v>
      </c>
      <c r="IN60" s="15">
        <v>0</v>
      </c>
      <c r="IO60" s="15">
        <v>0</v>
      </c>
      <c r="IP60" s="15">
        <v>0</v>
      </c>
      <c r="IQ60" s="15">
        <v>1</v>
      </c>
      <c r="IR60" s="15">
        <v>0</v>
      </c>
      <c r="IS60" s="15">
        <v>0</v>
      </c>
      <c r="IT60" s="15">
        <v>0</v>
      </c>
      <c r="IU60" s="15">
        <v>1</v>
      </c>
      <c r="IV60" s="15">
        <v>0</v>
      </c>
      <c r="IW60" s="15">
        <v>1</v>
      </c>
      <c r="IX60" s="15">
        <v>1</v>
      </c>
      <c r="IY60" s="15">
        <v>0</v>
      </c>
      <c r="IZ60" s="15">
        <v>1</v>
      </c>
      <c r="JA60" s="15">
        <v>0</v>
      </c>
      <c r="JB60" s="15">
        <v>0</v>
      </c>
      <c r="JC60" s="15">
        <v>1</v>
      </c>
      <c r="JD60" s="15">
        <v>0</v>
      </c>
      <c r="JE60" s="15">
        <v>0</v>
      </c>
      <c r="JF60" s="15">
        <v>0</v>
      </c>
      <c r="JG60" s="15">
        <v>0</v>
      </c>
      <c r="JH60" s="15">
        <v>0</v>
      </c>
      <c r="JI60" s="15">
        <v>0</v>
      </c>
      <c r="JJ60" s="15">
        <v>1</v>
      </c>
      <c r="JK60" s="15">
        <v>0</v>
      </c>
      <c r="JL60" s="15">
        <v>0</v>
      </c>
      <c r="JM60" s="15">
        <v>0</v>
      </c>
      <c r="JN60" s="15">
        <v>0</v>
      </c>
      <c r="JO60" s="15">
        <v>0</v>
      </c>
      <c r="JP60" s="15">
        <v>1</v>
      </c>
      <c r="JQ60" s="15">
        <v>1</v>
      </c>
      <c r="JR60" s="15">
        <v>1</v>
      </c>
      <c r="JS60" s="15">
        <v>0</v>
      </c>
      <c r="JT60" s="15">
        <v>1</v>
      </c>
      <c r="JU60" s="15"/>
      <c r="JV60" s="15">
        <v>1</v>
      </c>
      <c r="JW60" s="15">
        <v>1</v>
      </c>
      <c r="JX60" s="15">
        <v>0</v>
      </c>
      <c r="JY60" s="15">
        <v>0</v>
      </c>
      <c r="JZ60" s="15">
        <v>0</v>
      </c>
      <c r="KA60" s="15">
        <v>0</v>
      </c>
      <c r="KB60" s="15">
        <v>1</v>
      </c>
      <c r="KC60" s="15">
        <v>1</v>
      </c>
      <c r="KD60" s="15">
        <v>0</v>
      </c>
      <c r="KE60" s="15">
        <v>0</v>
      </c>
      <c r="KF60" s="15">
        <v>0</v>
      </c>
      <c r="KI60">
        <v>0</v>
      </c>
      <c r="KJ60">
        <v>0</v>
      </c>
      <c r="KK60">
        <v>1</v>
      </c>
      <c r="KL60">
        <v>0</v>
      </c>
      <c r="KM60">
        <v>1</v>
      </c>
      <c r="KN60">
        <v>0</v>
      </c>
      <c r="KO60">
        <v>0</v>
      </c>
      <c r="KP60">
        <v>0</v>
      </c>
      <c r="KQ60">
        <v>1</v>
      </c>
      <c r="KR60">
        <v>0</v>
      </c>
      <c r="KS60">
        <v>1</v>
      </c>
      <c r="KT60">
        <v>1</v>
      </c>
      <c r="KU60">
        <v>1</v>
      </c>
      <c r="KV60">
        <v>0</v>
      </c>
      <c r="KW60">
        <v>0</v>
      </c>
      <c r="KX60">
        <v>0</v>
      </c>
      <c r="KY60">
        <v>1</v>
      </c>
      <c r="KZ60">
        <v>0</v>
      </c>
      <c r="LA60">
        <v>0</v>
      </c>
      <c r="LB60">
        <v>0</v>
      </c>
      <c r="LC60">
        <v>1</v>
      </c>
      <c r="LD60">
        <v>0</v>
      </c>
      <c r="LE60">
        <v>1</v>
      </c>
      <c r="LF60">
        <v>1</v>
      </c>
      <c r="LG60">
        <v>0</v>
      </c>
      <c r="LH60">
        <v>1</v>
      </c>
      <c r="LI60">
        <v>0</v>
      </c>
      <c r="LJ60">
        <v>0</v>
      </c>
      <c r="LK60">
        <v>1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1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1</v>
      </c>
      <c r="LY60">
        <v>1</v>
      </c>
      <c r="LZ60">
        <v>1</v>
      </c>
      <c r="MA60">
        <v>0</v>
      </c>
      <c r="MB60">
        <v>1</v>
      </c>
      <c r="MC60">
        <v>0</v>
      </c>
      <c r="MD60">
        <v>1</v>
      </c>
      <c r="ME60">
        <v>1</v>
      </c>
      <c r="MF60">
        <v>0</v>
      </c>
      <c r="MG60">
        <v>0</v>
      </c>
      <c r="MH60">
        <v>0</v>
      </c>
      <c r="MI60">
        <v>0</v>
      </c>
      <c r="MJ60">
        <v>1</v>
      </c>
      <c r="MK60">
        <v>1</v>
      </c>
      <c r="ML60">
        <v>0</v>
      </c>
      <c r="MM60">
        <v>0</v>
      </c>
      <c r="MN60">
        <v>0</v>
      </c>
      <c r="MO60">
        <v>1</v>
      </c>
      <c r="MP60">
        <v>0</v>
      </c>
      <c r="MQ60">
        <v>1</v>
      </c>
      <c r="MR60">
        <v>1</v>
      </c>
      <c r="MS60">
        <v>1</v>
      </c>
      <c r="MT60">
        <v>1</v>
      </c>
    </row>
    <row r="61" spans="1:358" s="39" customFormat="1" ht="18" x14ac:dyDescent="0.25">
      <c r="A61" t="s">
        <v>453</v>
      </c>
      <c r="B61" s="40">
        <v>26</v>
      </c>
      <c r="C61" s="40">
        <v>1</v>
      </c>
      <c r="D61" s="40">
        <v>1</v>
      </c>
      <c r="E61" s="41">
        <v>43524</v>
      </c>
      <c r="F61" s="61">
        <v>2</v>
      </c>
      <c r="G61" s="61"/>
      <c r="H61" s="58">
        <v>1</v>
      </c>
      <c r="I61" s="57">
        <v>1</v>
      </c>
      <c r="J61" s="58">
        <v>0</v>
      </c>
      <c r="K61" s="40" t="s">
        <v>19</v>
      </c>
      <c r="L61" s="65">
        <v>2</v>
      </c>
      <c r="M61" s="42">
        <v>43650</v>
      </c>
      <c r="N61" s="40">
        <v>0</v>
      </c>
      <c r="O61" s="42">
        <v>44803</v>
      </c>
      <c r="P61" s="64">
        <f t="shared" si="0"/>
        <v>1281</v>
      </c>
      <c r="Q61" s="39">
        <v>3</v>
      </c>
      <c r="R61" s="39">
        <v>0</v>
      </c>
      <c r="S61" s="39">
        <v>1</v>
      </c>
      <c r="T61" s="39">
        <v>92</v>
      </c>
      <c r="U61" s="39">
        <v>0</v>
      </c>
      <c r="V61" s="39">
        <v>0</v>
      </c>
      <c r="W61" s="39">
        <v>0</v>
      </c>
      <c r="X61" s="39">
        <v>0</v>
      </c>
      <c r="Y61" s="39">
        <v>0</v>
      </c>
      <c r="Z61" s="39">
        <v>1</v>
      </c>
      <c r="AA61" s="39">
        <v>0</v>
      </c>
      <c r="AB61" s="39">
        <v>0</v>
      </c>
      <c r="AC61" s="39">
        <v>0</v>
      </c>
      <c r="AD61" s="39">
        <v>0</v>
      </c>
      <c r="AE61" s="39">
        <v>0</v>
      </c>
      <c r="AF61" s="39">
        <v>0</v>
      </c>
      <c r="AG61" s="39">
        <v>0</v>
      </c>
      <c r="AH61" s="39">
        <v>0</v>
      </c>
      <c r="AI61" s="39">
        <v>0</v>
      </c>
      <c r="AJ61" s="39">
        <v>0</v>
      </c>
      <c r="AK61" s="39">
        <v>0</v>
      </c>
      <c r="AL61" s="39">
        <v>0</v>
      </c>
      <c r="AM61" s="39">
        <v>0</v>
      </c>
      <c r="AN61" s="39">
        <v>69</v>
      </c>
      <c r="AO61" s="39">
        <v>168</v>
      </c>
      <c r="AP61" s="39">
        <v>24.4</v>
      </c>
      <c r="AQ61" s="39">
        <v>39.4</v>
      </c>
      <c r="AR61" s="39">
        <v>115</v>
      </c>
      <c r="AS61" s="39">
        <v>75</v>
      </c>
      <c r="AT61" s="39">
        <v>3</v>
      </c>
      <c r="AU61">
        <v>1</v>
      </c>
      <c r="AV61" s="39">
        <v>145</v>
      </c>
      <c r="AW61" s="43">
        <v>43522</v>
      </c>
      <c r="AX61" s="43">
        <v>43522</v>
      </c>
      <c r="AY61" s="39">
        <v>0</v>
      </c>
      <c r="AZ61" s="43">
        <v>43522</v>
      </c>
      <c r="BA61" s="39">
        <v>1</v>
      </c>
      <c r="BB61" s="39">
        <v>1</v>
      </c>
      <c r="BC61" s="39">
        <v>1</v>
      </c>
      <c r="BD61" s="39">
        <v>1</v>
      </c>
      <c r="BE61" s="39">
        <v>0</v>
      </c>
      <c r="BF61" s="39">
        <v>0</v>
      </c>
      <c r="BG61" s="39">
        <v>0</v>
      </c>
      <c r="BH61" s="39">
        <v>0</v>
      </c>
      <c r="BI61" s="39">
        <v>1</v>
      </c>
      <c r="BJ61" s="39">
        <v>3</v>
      </c>
      <c r="BK61">
        <v>0</v>
      </c>
      <c r="BL61">
        <v>0</v>
      </c>
      <c r="BM61" s="66">
        <v>0</v>
      </c>
      <c r="BN61">
        <v>0</v>
      </c>
      <c r="BO61">
        <v>0</v>
      </c>
      <c r="BP61" s="66">
        <f t="shared" si="26"/>
        <v>3</v>
      </c>
      <c r="BQ61" s="39">
        <v>1</v>
      </c>
      <c r="BR61" s="39">
        <v>3</v>
      </c>
      <c r="BS61">
        <v>3</v>
      </c>
      <c r="BT61">
        <v>0</v>
      </c>
      <c r="BU61" s="66">
        <f t="shared" si="27"/>
        <v>0</v>
      </c>
      <c r="BV61">
        <v>0</v>
      </c>
      <c r="BW61">
        <v>0</v>
      </c>
      <c r="BX61" s="66">
        <f t="shared" si="3"/>
        <v>6</v>
      </c>
      <c r="BY61" s="39">
        <v>1</v>
      </c>
      <c r="BZ61">
        <v>1</v>
      </c>
      <c r="CA61" s="39">
        <v>1</v>
      </c>
      <c r="CB61" s="39">
        <v>1</v>
      </c>
      <c r="CD61" s="39">
        <v>1</v>
      </c>
      <c r="CE61" s="39">
        <v>1</v>
      </c>
      <c r="CF61" s="39">
        <v>0</v>
      </c>
      <c r="CG61" s="39">
        <v>0</v>
      </c>
      <c r="CH61" s="39">
        <v>1</v>
      </c>
      <c r="CI61" s="39">
        <v>0</v>
      </c>
      <c r="CJ61" s="39">
        <v>0</v>
      </c>
      <c r="CK61" s="39">
        <v>0</v>
      </c>
      <c r="CL61" s="39">
        <v>0</v>
      </c>
      <c r="CM61" s="39">
        <v>1</v>
      </c>
      <c r="CN61" s="39">
        <v>0</v>
      </c>
      <c r="CO61">
        <v>1</v>
      </c>
      <c r="CP61" s="39">
        <v>0</v>
      </c>
      <c r="CQ61" s="39">
        <v>0</v>
      </c>
      <c r="CR61" s="39">
        <v>0</v>
      </c>
      <c r="CS61" s="39">
        <v>0</v>
      </c>
      <c r="CT61" s="39">
        <v>0</v>
      </c>
      <c r="CU61" s="39">
        <v>0</v>
      </c>
      <c r="CV61" s="39">
        <v>0</v>
      </c>
      <c r="CW61" s="31"/>
      <c r="CY61">
        <v>1</v>
      </c>
      <c r="CZ61" s="39">
        <v>1</v>
      </c>
      <c r="DA61" s="43">
        <v>43533</v>
      </c>
      <c r="DB61" s="66">
        <f t="shared" si="5"/>
        <v>11</v>
      </c>
      <c r="DC61" s="39" t="s">
        <v>1</v>
      </c>
      <c r="DD61" s="39">
        <v>1</v>
      </c>
      <c r="DE61" s="43">
        <v>43534</v>
      </c>
      <c r="DF61" s="39">
        <v>2</v>
      </c>
      <c r="DG61" s="43">
        <v>43533</v>
      </c>
      <c r="DH61" s="39">
        <v>7</v>
      </c>
      <c r="DI61" s="39">
        <v>13.5</v>
      </c>
      <c r="DJ61" s="39">
        <v>1.6</v>
      </c>
      <c r="DK61" s="80">
        <v>717</v>
      </c>
      <c r="DL61" s="39">
        <v>8</v>
      </c>
      <c r="DM61" s="39">
        <v>58</v>
      </c>
      <c r="DO61" s="39">
        <v>1</v>
      </c>
      <c r="DP61" s="39">
        <v>717</v>
      </c>
      <c r="DR61" s="39">
        <v>54</v>
      </c>
      <c r="DS61" s="39">
        <v>2.9</v>
      </c>
      <c r="DW61" s="43">
        <v>43522</v>
      </c>
      <c r="DX61" s="39">
        <v>16</v>
      </c>
      <c r="DY61">
        <f t="shared" ref="DY61:DY62" si="29">EA61</f>
        <v>35</v>
      </c>
      <c r="DZ61">
        <v>1</v>
      </c>
      <c r="EA61" s="39">
        <v>35</v>
      </c>
      <c r="EB61">
        <v>1</v>
      </c>
      <c r="EC61" s="39">
        <v>2.2999999999999998</v>
      </c>
      <c r="ED61">
        <f t="shared" si="28"/>
        <v>2.8</v>
      </c>
      <c r="EE61">
        <v>1</v>
      </c>
      <c r="EF61" s="39">
        <v>2.8</v>
      </c>
      <c r="EG61">
        <v>1</v>
      </c>
      <c r="EH61" s="39">
        <v>229</v>
      </c>
      <c r="EI61" s="62">
        <v>1</v>
      </c>
      <c r="EJ61" s="39">
        <v>229</v>
      </c>
      <c r="EK61" s="39">
        <v>1</v>
      </c>
      <c r="EL61">
        <f t="shared" si="6"/>
        <v>0</v>
      </c>
      <c r="EO61" s="39">
        <v>0.17</v>
      </c>
      <c r="ER61" s="39">
        <v>23</v>
      </c>
      <c r="ET61" s="39">
        <v>23</v>
      </c>
      <c r="EU61" s="39">
        <v>5</v>
      </c>
      <c r="EV61" s="39">
        <v>43</v>
      </c>
      <c r="EW61" s="39">
        <v>54</v>
      </c>
      <c r="EX61" s="39">
        <v>7</v>
      </c>
      <c r="EY61" s="39">
        <v>4</v>
      </c>
      <c r="FB61">
        <v>0</v>
      </c>
      <c r="FC61" s="39">
        <v>1</v>
      </c>
      <c r="FD61" s="39">
        <v>1</v>
      </c>
      <c r="FF61" s="39">
        <v>1</v>
      </c>
      <c r="FG61">
        <v>1</v>
      </c>
      <c r="FH61" s="43">
        <v>43533</v>
      </c>
      <c r="FI61" s="43"/>
      <c r="FJ61" s="43"/>
      <c r="FK61" s="39">
        <v>0</v>
      </c>
      <c r="FL61">
        <v>0</v>
      </c>
      <c r="FM61"/>
      <c r="FN61"/>
      <c r="FO61">
        <v>0</v>
      </c>
      <c r="FQ61" s="44">
        <v>43508</v>
      </c>
      <c r="FR61" s="52" t="s">
        <v>230</v>
      </c>
      <c r="FS61" s="45"/>
      <c r="FT61" s="45"/>
      <c r="FU61" s="45"/>
      <c r="FV61" s="45"/>
      <c r="FW61" s="45"/>
      <c r="FX61" s="45"/>
      <c r="FY61" s="45"/>
      <c r="FZ61" s="45"/>
      <c r="GA61" s="45"/>
      <c r="GB61" s="45"/>
      <c r="GC61" s="45"/>
      <c r="GD61" s="45"/>
      <c r="GE61" s="45"/>
      <c r="GF61" s="45"/>
      <c r="GG61" s="45"/>
      <c r="GH61" s="45"/>
      <c r="GI61" s="45"/>
      <c r="GJ61" s="45"/>
      <c r="GK61" s="45"/>
      <c r="GL61" s="45"/>
      <c r="GM61" s="45"/>
      <c r="GN61" s="45"/>
      <c r="GO61" s="45"/>
      <c r="GP61" s="45"/>
      <c r="GQ61" s="45"/>
      <c r="GR61" s="45"/>
      <c r="GS61" s="45"/>
      <c r="GT61" s="45"/>
      <c r="GU61" s="45"/>
      <c r="GV61" s="45"/>
      <c r="GW61" s="45"/>
      <c r="GX61" s="45"/>
      <c r="GY61" s="45"/>
      <c r="GZ61" s="45"/>
      <c r="HA61" s="45"/>
      <c r="HB61" s="45"/>
      <c r="HC61" s="45"/>
      <c r="HD61" s="45"/>
      <c r="HE61" s="45"/>
      <c r="HF61" s="45"/>
      <c r="HG61" s="45"/>
      <c r="HH61" s="45"/>
      <c r="HI61" s="45"/>
      <c r="HJ61" s="45"/>
      <c r="HK61" s="45"/>
      <c r="HL61" s="45"/>
      <c r="HM61" s="45"/>
      <c r="HN61" s="45"/>
      <c r="HO61" s="45"/>
      <c r="HP61" s="45"/>
      <c r="HQ61" s="45"/>
      <c r="HR61" s="45"/>
      <c r="HS61" s="45"/>
      <c r="HT61" s="45"/>
      <c r="HU61" s="45"/>
      <c r="HV61" s="45"/>
      <c r="HW61" s="45"/>
      <c r="HX61" s="45"/>
      <c r="HY61" s="44">
        <v>43513</v>
      </c>
      <c r="HZ61" s="45" t="s">
        <v>230</v>
      </c>
      <c r="IA61" s="45">
        <v>0</v>
      </c>
      <c r="IB61" s="45">
        <v>0</v>
      </c>
      <c r="IC61" s="45">
        <v>1</v>
      </c>
      <c r="ID61" s="45">
        <v>0</v>
      </c>
      <c r="IE61" s="45"/>
      <c r="IF61" s="45"/>
      <c r="IG61" s="45"/>
      <c r="IH61" s="45"/>
      <c r="II61" s="45"/>
      <c r="IJ61" s="45"/>
      <c r="IK61" s="45"/>
      <c r="IL61" s="45"/>
      <c r="IM61" s="45"/>
      <c r="IN61" s="45"/>
      <c r="IO61" s="45"/>
      <c r="IP61" s="45"/>
      <c r="IQ61" s="45"/>
      <c r="IR61" s="45"/>
      <c r="IS61" s="45"/>
      <c r="IT61" s="45"/>
      <c r="IU61" s="45"/>
      <c r="IV61" s="45"/>
      <c r="IW61" s="45"/>
      <c r="IX61" s="45"/>
      <c r="IY61" s="45"/>
      <c r="IZ61" s="45"/>
      <c r="JA61" s="45"/>
      <c r="JB61" s="45"/>
      <c r="JC61" s="45"/>
      <c r="JD61" s="45"/>
      <c r="JE61" s="45"/>
      <c r="JF61" s="45"/>
      <c r="JG61" s="45"/>
      <c r="JH61" s="45"/>
      <c r="JI61" s="45"/>
      <c r="JJ61" s="45"/>
      <c r="JK61" s="45"/>
      <c r="JL61" s="45"/>
      <c r="JM61" s="45"/>
      <c r="JN61" s="45"/>
      <c r="JO61" s="45"/>
      <c r="JP61" s="45"/>
      <c r="JQ61" s="45"/>
      <c r="JR61" s="45"/>
      <c r="JS61" s="45"/>
      <c r="JT61" s="45"/>
      <c r="JU61" s="45"/>
      <c r="JV61" s="45"/>
      <c r="JW61" s="45"/>
      <c r="JX61" s="45"/>
      <c r="JY61" s="45"/>
      <c r="JZ61" s="45"/>
      <c r="KA61" s="45"/>
      <c r="KB61" s="45"/>
      <c r="KC61" s="45"/>
      <c r="KD61" s="45"/>
      <c r="KE61" s="45"/>
      <c r="KF61" s="45"/>
      <c r="KG61"/>
      <c r="KH61"/>
      <c r="KI61">
        <v>0</v>
      </c>
      <c r="KJ61">
        <v>0</v>
      </c>
      <c r="KK61">
        <v>1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f t="shared" si="10"/>
        <v>0</v>
      </c>
      <c r="MR61">
        <f t="shared" si="11"/>
        <v>0</v>
      </c>
    </row>
    <row r="62" spans="1:358" ht="18" x14ac:dyDescent="0.25">
      <c r="A62" t="s">
        <v>454</v>
      </c>
      <c r="B62" s="3">
        <v>29</v>
      </c>
      <c r="C62" s="3">
        <v>0</v>
      </c>
      <c r="D62" s="3">
        <v>0</v>
      </c>
      <c r="E62" s="3"/>
      <c r="F62" s="55">
        <v>104</v>
      </c>
      <c r="G62" s="55"/>
      <c r="H62" s="57">
        <v>0</v>
      </c>
      <c r="I62" s="57">
        <v>0</v>
      </c>
      <c r="J62" s="57"/>
      <c r="K62" s="3"/>
      <c r="L62" s="3"/>
      <c r="M62" s="3"/>
      <c r="N62" s="3">
        <v>0</v>
      </c>
      <c r="O62" s="2">
        <v>44057</v>
      </c>
      <c r="P62" s="64">
        <f t="shared" si="0"/>
        <v>104</v>
      </c>
      <c r="Q62">
        <v>3</v>
      </c>
      <c r="R62">
        <v>0</v>
      </c>
      <c r="S62">
        <v>1</v>
      </c>
      <c r="T62">
        <v>75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92</v>
      </c>
      <c r="AO62">
        <v>190</v>
      </c>
      <c r="AP62">
        <v>25.5</v>
      </c>
      <c r="AQ62">
        <v>36.4</v>
      </c>
      <c r="AR62">
        <v>149</v>
      </c>
      <c r="AS62">
        <v>97</v>
      </c>
      <c r="AT62">
        <v>3</v>
      </c>
      <c r="AU62">
        <v>1</v>
      </c>
      <c r="AV62">
        <v>93</v>
      </c>
      <c r="AW62" s="1">
        <v>43953</v>
      </c>
      <c r="AX62" s="1">
        <v>43953</v>
      </c>
      <c r="AY62">
        <v>0</v>
      </c>
      <c r="AZ62" s="1">
        <v>43946</v>
      </c>
      <c r="BA62">
        <v>1</v>
      </c>
      <c r="BB62">
        <v>1</v>
      </c>
      <c r="BC62">
        <v>1</v>
      </c>
      <c r="BD62">
        <v>1</v>
      </c>
      <c r="BE62">
        <v>0</v>
      </c>
      <c r="BF62">
        <v>1</v>
      </c>
      <c r="BG62">
        <v>0</v>
      </c>
      <c r="BH62">
        <v>0</v>
      </c>
      <c r="BI62">
        <v>1</v>
      </c>
      <c r="BJ62">
        <v>0</v>
      </c>
      <c r="BK62">
        <v>0</v>
      </c>
      <c r="BL62">
        <v>0</v>
      </c>
      <c r="BM62" s="66">
        <v>0</v>
      </c>
      <c r="BN62">
        <v>0</v>
      </c>
      <c r="BO62">
        <v>0</v>
      </c>
      <c r="BP62" s="66">
        <f t="shared" si="26"/>
        <v>0</v>
      </c>
      <c r="BQ62">
        <v>0</v>
      </c>
      <c r="BR62">
        <v>0</v>
      </c>
      <c r="BS62">
        <v>0</v>
      </c>
      <c r="BT62">
        <v>0</v>
      </c>
      <c r="BU62" s="66">
        <f t="shared" si="27"/>
        <v>0</v>
      </c>
      <c r="BV62">
        <v>0</v>
      </c>
      <c r="BW62">
        <v>0</v>
      </c>
      <c r="BX62" s="66">
        <f t="shared" si="3"/>
        <v>0</v>
      </c>
      <c r="BY62">
        <v>0</v>
      </c>
      <c r="BZ62">
        <f t="shared" si="4"/>
        <v>0</v>
      </c>
      <c r="CA62">
        <v>0</v>
      </c>
      <c r="CB62">
        <v>0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f t="shared" si="7"/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</v>
      </c>
      <c r="CY62">
        <v>0</v>
      </c>
      <c r="DA62" s="1">
        <v>43953</v>
      </c>
      <c r="DB62" s="66">
        <f t="shared" si="5"/>
        <v>7</v>
      </c>
      <c r="DC62" t="s">
        <v>1</v>
      </c>
      <c r="DD62">
        <v>0</v>
      </c>
      <c r="DE62" s="1">
        <v>43958</v>
      </c>
      <c r="DF62">
        <v>6</v>
      </c>
      <c r="DG62" s="1">
        <v>43953</v>
      </c>
      <c r="DH62">
        <v>15</v>
      </c>
      <c r="DI62">
        <v>10.9</v>
      </c>
      <c r="DJ62">
        <v>1</v>
      </c>
      <c r="DK62" s="66">
        <v>352</v>
      </c>
      <c r="DL62">
        <v>5</v>
      </c>
      <c r="DM62">
        <v>62</v>
      </c>
      <c r="DO62">
        <v>1</v>
      </c>
      <c r="DP62">
        <v>352</v>
      </c>
      <c r="DR62">
        <v>67</v>
      </c>
      <c r="DS62">
        <v>3.5</v>
      </c>
      <c r="DW62" s="1">
        <v>43953</v>
      </c>
      <c r="DX62">
        <v>12</v>
      </c>
      <c r="DY62">
        <f t="shared" si="29"/>
        <v>13</v>
      </c>
      <c r="DZ62">
        <v>1</v>
      </c>
      <c r="EA62">
        <v>13</v>
      </c>
      <c r="EB62">
        <v>0</v>
      </c>
      <c r="ED62">
        <f t="shared" si="28"/>
        <v>1.4</v>
      </c>
      <c r="EE62">
        <v>0</v>
      </c>
      <c r="EF62">
        <v>1.4</v>
      </c>
      <c r="EG62">
        <v>0</v>
      </c>
      <c r="EH62">
        <v>64</v>
      </c>
      <c r="EI62" s="62">
        <v>1.71875</v>
      </c>
      <c r="EJ62">
        <v>110</v>
      </c>
      <c r="EK62">
        <v>0</v>
      </c>
      <c r="EL62">
        <f t="shared" si="6"/>
        <v>46</v>
      </c>
      <c r="ER62">
        <v>24</v>
      </c>
      <c r="ET62">
        <v>33</v>
      </c>
      <c r="EU62">
        <v>61</v>
      </c>
      <c r="EV62">
        <v>26</v>
      </c>
      <c r="EW62">
        <v>62</v>
      </c>
      <c r="EX62">
        <v>12</v>
      </c>
      <c r="EY62">
        <v>6</v>
      </c>
      <c r="FA62">
        <v>7.38</v>
      </c>
      <c r="FB62">
        <v>0</v>
      </c>
      <c r="FC62">
        <v>0</v>
      </c>
      <c r="FF62">
        <v>0</v>
      </c>
      <c r="FG62">
        <v>0</v>
      </c>
      <c r="FI62"/>
      <c r="FK62">
        <v>0</v>
      </c>
      <c r="FL62">
        <v>0</v>
      </c>
      <c r="FO62">
        <v>0</v>
      </c>
      <c r="FQ62" s="22">
        <v>43952</v>
      </c>
      <c r="FR62" s="22" t="s">
        <v>230</v>
      </c>
      <c r="FS62" s="15">
        <v>1</v>
      </c>
      <c r="FT62" s="15">
        <v>0</v>
      </c>
      <c r="FU62" s="15">
        <v>1</v>
      </c>
      <c r="FV62" s="15">
        <v>0</v>
      </c>
      <c r="FW62" s="15">
        <v>1</v>
      </c>
      <c r="FX62" s="15">
        <v>1</v>
      </c>
      <c r="FY62" s="15">
        <v>1</v>
      </c>
      <c r="FZ62" s="15">
        <v>0</v>
      </c>
      <c r="GA62" s="15">
        <v>0</v>
      </c>
      <c r="GB62" s="15">
        <v>1</v>
      </c>
      <c r="GC62" s="15">
        <v>1</v>
      </c>
      <c r="GD62" s="15">
        <v>1</v>
      </c>
      <c r="GE62" s="15">
        <v>1</v>
      </c>
      <c r="GF62" s="15">
        <v>1</v>
      </c>
      <c r="GG62" s="15">
        <v>1</v>
      </c>
      <c r="GH62" s="15">
        <v>1</v>
      </c>
      <c r="GI62" s="15">
        <v>0</v>
      </c>
      <c r="GJ62" s="15">
        <v>0</v>
      </c>
      <c r="GK62" s="15">
        <v>1</v>
      </c>
      <c r="GL62" s="15">
        <v>0</v>
      </c>
      <c r="GM62" s="15">
        <v>0</v>
      </c>
      <c r="GN62" s="15">
        <v>1</v>
      </c>
      <c r="GO62" s="15">
        <v>1</v>
      </c>
      <c r="GP62" s="15">
        <v>0</v>
      </c>
      <c r="GQ62" s="15">
        <v>1</v>
      </c>
      <c r="GR62" s="15">
        <v>1</v>
      </c>
      <c r="GS62" s="15">
        <v>1</v>
      </c>
      <c r="GT62" s="15">
        <v>0</v>
      </c>
      <c r="GU62" s="15">
        <v>1</v>
      </c>
      <c r="GV62" s="15">
        <v>0</v>
      </c>
      <c r="GW62" s="15">
        <v>0</v>
      </c>
      <c r="GX62" s="15">
        <v>0</v>
      </c>
      <c r="GY62" s="15">
        <v>0</v>
      </c>
      <c r="GZ62" s="15">
        <v>0</v>
      </c>
      <c r="HA62" s="15">
        <v>0</v>
      </c>
      <c r="HB62" s="15">
        <v>1</v>
      </c>
      <c r="HC62" s="15">
        <v>0</v>
      </c>
      <c r="HD62" s="15">
        <v>0</v>
      </c>
      <c r="HE62" s="15">
        <v>0</v>
      </c>
      <c r="HF62" s="15">
        <v>0</v>
      </c>
      <c r="HG62" s="15">
        <v>0</v>
      </c>
      <c r="HH62" s="15">
        <v>0</v>
      </c>
      <c r="HI62" s="15">
        <v>1</v>
      </c>
      <c r="HJ62" s="15">
        <v>1</v>
      </c>
      <c r="HK62" s="15">
        <v>0</v>
      </c>
      <c r="HL62" s="15">
        <v>1</v>
      </c>
      <c r="HM62" s="15">
        <v>0</v>
      </c>
      <c r="HN62" s="15">
        <v>1</v>
      </c>
      <c r="HO62" s="15">
        <v>1</v>
      </c>
      <c r="HP62" s="15">
        <v>0</v>
      </c>
      <c r="HQ62" s="15">
        <v>0</v>
      </c>
      <c r="HR62" s="15">
        <v>0</v>
      </c>
      <c r="HS62" s="15">
        <v>0</v>
      </c>
      <c r="HT62" s="15">
        <v>1</v>
      </c>
      <c r="HU62" s="15">
        <v>1</v>
      </c>
      <c r="HV62" s="15">
        <v>0</v>
      </c>
      <c r="HW62" s="15">
        <v>0</v>
      </c>
      <c r="HX62" s="15">
        <v>0</v>
      </c>
      <c r="HY62" s="22">
        <v>43954</v>
      </c>
      <c r="HZ62" s="15" t="s">
        <v>231</v>
      </c>
      <c r="IA62" s="15">
        <v>0</v>
      </c>
      <c r="IB62" s="15">
        <v>1</v>
      </c>
      <c r="IC62" s="15">
        <v>1</v>
      </c>
      <c r="ID62" s="15">
        <v>0</v>
      </c>
      <c r="IE62" s="15">
        <v>1</v>
      </c>
      <c r="IF62" s="15">
        <v>1</v>
      </c>
      <c r="IG62" s="15">
        <v>1</v>
      </c>
      <c r="IH62" s="15">
        <v>0</v>
      </c>
      <c r="II62" s="15">
        <v>0</v>
      </c>
      <c r="IJ62" s="15">
        <v>1</v>
      </c>
      <c r="IK62" s="15">
        <v>1</v>
      </c>
      <c r="IL62" s="15">
        <v>1</v>
      </c>
      <c r="IM62" s="15">
        <v>1</v>
      </c>
      <c r="IN62" s="15">
        <v>1</v>
      </c>
      <c r="IO62" s="15">
        <v>1</v>
      </c>
      <c r="IP62" s="15">
        <v>1</v>
      </c>
      <c r="IQ62" s="15">
        <v>0</v>
      </c>
      <c r="IR62" s="15">
        <v>0</v>
      </c>
      <c r="IS62" s="15">
        <v>1</v>
      </c>
      <c r="IT62" s="15">
        <v>0</v>
      </c>
      <c r="IU62" s="15">
        <v>0</v>
      </c>
      <c r="IV62" s="15">
        <v>1</v>
      </c>
      <c r="IW62" s="15">
        <v>1</v>
      </c>
      <c r="IX62" s="15">
        <v>0</v>
      </c>
      <c r="IY62" s="15">
        <v>1</v>
      </c>
      <c r="IZ62" s="15">
        <v>1</v>
      </c>
      <c r="JA62" s="15">
        <v>1</v>
      </c>
      <c r="JB62" s="15">
        <v>0</v>
      </c>
      <c r="JC62" s="15">
        <v>1</v>
      </c>
      <c r="JD62" s="15">
        <v>0</v>
      </c>
      <c r="JE62" s="15">
        <v>0</v>
      </c>
      <c r="JF62" s="15">
        <v>0</v>
      </c>
      <c r="JG62" s="15">
        <v>0</v>
      </c>
      <c r="JH62" s="15">
        <v>0</v>
      </c>
      <c r="JI62" s="15">
        <v>0</v>
      </c>
      <c r="JJ62" s="15">
        <v>1</v>
      </c>
      <c r="JK62" s="15">
        <v>0</v>
      </c>
      <c r="JL62" s="15">
        <v>0</v>
      </c>
      <c r="JM62" s="15">
        <v>0</v>
      </c>
      <c r="JN62" s="15">
        <v>0</v>
      </c>
      <c r="JO62" s="15">
        <v>0</v>
      </c>
      <c r="JP62" s="15">
        <v>1</v>
      </c>
      <c r="JQ62" s="15">
        <v>1</v>
      </c>
      <c r="JR62" s="15">
        <v>0</v>
      </c>
      <c r="JS62" s="15">
        <v>0</v>
      </c>
      <c r="JT62" s="15">
        <v>1</v>
      </c>
      <c r="JU62" s="15"/>
      <c r="JV62" s="15">
        <v>1</v>
      </c>
      <c r="JW62" s="15">
        <v>1</v>
      </c>
      <c r="JX62" s="15">
        <v>0</v>
      </c>
      <c r="JY62" s="15">
        <v>0</v>
      </c>
      <c r="JZ62" s="15">
        <v>0</v>
      </c>
      <c r="KA62" s="15">
        <v>0</v>
      </c>
      <c r="KB62" s="15">
        <v>1</v>
      </c>
      <c r="KC62" s="15">
        <v>1</v>
      </c>
      <c r="KD62" s="15">
        <v>0</v>
      </c>
      <c r="KE62" s="15">
        <v>0</v>
      </c>
      <c r="KF62" s="15">
        <v>0</v>
      </c>
      <c r="KI62">
        <v>1</v>
      </c>
      <c r="KJ62">
        <v>1</v>
      </c>
      <c r="KK62">
        <v>1</v>
      </c>
      <c r="KL62">
        <v>0</v>
      </c>
      <c r="KM62">
        <v>1</v>
      </c>
      <c r="KN62">
        <v>1</v>
      </c>
      <c r="KO62">
        <v>1</v>
      </c>
      <c r="KP62">
        <v>0</v>
      </c>
      <c r="KQ62">
        <v>0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0</v>
      </c>
      <c r="KZ62">
        <v>0</v>
      </c>
      <c r="LA62">
        <v>1</v>
      </c>
      <c r="LB62">
        <v>0</v>
      </c>
      <c r="LC62">
        <v>0</v>
      </c>
      <c r="LD62">
        <v>1</v>
      </c>
      <c r="LE62">
        <v>1</v>
      </c>
      <c r="LF62">
        <v>0</v>
      </c>
      <c r="LG62">
        <v>1</v>
      </c>
      <c r="LH62">
        <v>1</v>
      </c>
      <c r="LI62">
        <v>1</v>
      </c>
      <c r="LJ62">
        <v>0</v>
      </c>
      <c r="LK62">
        <v>1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1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1</v>
      </c>
      <c r="LY62">
        <v>1</v>
      </c>
      <c r="LZ62">
        <v>1</v>
      </c>
      <c r="MA62">
        <v>0</v>
      </c>
      <c r="MB62">
        <v>1</v>
      </c>
      <c r="MC62">
        <v>0</v>
      </c>
      <c r="MD62">
        <v>1</v>
      </c>
      <c r="ME62">
        <v>1</v>
      </c>
      <c r="MF62">
        <v>0</v>
      </c>
      <c r="MG62">
        <v>0</v>
      </c>
      <c r="MH62">
        <v>0</v>
      </c>
      <c r="MI62">
        <v>0</v>
      </c>
      <c r="MJ62">
        <v>1</v>
      </c>
      <c r="MK62">
        <v>1</v>
      </c>
      <c r="ML62">
        <v>0</v>
      </c>
      <c r="MM62">
        <v>0</v>
      </c>
      <c r="MN62">
        <v>0</v>
      </c>
      <c r="MO62">
        <v>1</v>
      </c>
      <c r="MP62">
        <v>0</v>
      </c>
      <c r="MQ62">
        <v>1</v>
      </c>
      <c r="MR62">
        <v>1</v>
      </c>
      <c r="MS62">
        <v>0</v>
      </c>
    </row>
    <row r="63" spans="1:358" s="39" customFormat="1" ht="18" x14ac:dyDescent="0.25">
      <c r="A63" t="s">
        <v>455</v>
      </c>
      <c r="B63" s="40">
        <v>56</v>
      </c>
      <c r="C63" s="40">
        <v>1</v>
      </c>
      <c r="D63" s="40">
        <v>0</v>
      </c>
      <c r="E63" s="40"/>
      <c r="F63" s="55">
        <v>1293</v>
      </c>
      <c r="G63" s="55"/>
      <c r="H63" s="57">
        <v>0</v>
      </c>
      <c r="I63" s="57">
        <v>0</v>
      </c>
      <c r="J63" s="57"/>
      <c r="K63" s="40"/>
      <c r="L63" s="40"/>
      <c r="M63" s="40"/>
      <c r="N63" s="40">
        <v>0</v>
      </c>
      <c r="O63" s="42">
        <v>44357</v>
      </c>
      <c r="P63" s="64">
        <f t="shared" si="0"/>
        <v>1293</v>
      </c>
      <c r="Q63" s="39">
        <v>3</v>
      </c>
      <c r="R63" s="39">
        <v>1</v>
      </c>
      <c r="S63" s="39">
        <v>0</v>
      </c>
      <c r="T63" s="39">
        <v>93</v>
      </c>
      <c r="U63" s="39">
        <v>0</v>
      </c>
      <c r="V63" s="39">
        <v>1</v>
      </c>
      <c r="W63" s="39">
        <v>0</v>
      </c>
      <c r="X63" s="39">
        <v>0</v>
      </c>
      <c r="Y63" s="39">
        <v>0</v>
      </c>
      <c r="Z63" s="39">
        <v>0</v>
      </c>
      <c r="AA63" s="39">
        <v>0</v>
      </c>
      <c r="AB63" s="39">
        <v>0</v>
      </c>
      <c r="AC63" s="39">
        <v>0</v>
      </c>
      <c r="AD63" s="39">
        <v>0</v>
      </c>
      <c r="AE63" s="39">
        <v>0</v>
      </c>
      <c r="AF63" s="39">
        <v>1</v>
      </c>
      <c r="AG63" s="39">
        <v>0</v>
      </c>
      <c r="AH63" s="39">
        <v>0</v>
      </c>
      <c r="AI63" s="39">
        <v>0</v>
      </c>
      <c r="AJ63" s="39">
        <v>0</v>
      </c>
      <c r="AK63" s="39">
        <v>0</v>
      </c>
      <c r="AL63" s="39">
        <v>0</v>
      </c>
      <c r="AM63" s="39">
        <v>0</v>
      </c>
      <c r="AN63" s="39">
        <v>84</v>
      </c>
      <c r="AQ63" s="39">
        <v>37.4</v>
      </c>
      <c r="AV63" s="39">
        <v>114</v>
      </c>
      <c r="AW63" s="43">
        <v>43064</v>
      </c>
      <c r="AX63" s="43">
        <v>43064</v>
      </c>
      <c r="AY63" s="39">
        <v>0</v>
      </c>
      <c r="AZ63" s="43">
        <v>43064</v>
      </c>
      <c r="BA63" s="39">
        <v>1</v>
      </c>
      <c r="BB63" s="39">
        <v>0</v>
      </c>
      <c r="BC63" s="39">
        <v>0</v>
      </c>
      <c r="BD63" s="39">
        <v>1</v>
      </c>
      <c r="BE63" s="39">
        <v>0</v>
      </c>
      <c r="BF63" s="39">
        <v>1</v>
      </c>
      <c r="BG63" s="39">
        <v>0</v>
      </c>
      <c r="BH63" s="39">
        <v>0</v>
      </c>
      <c r="BI63" s="39">
        <v>0</v>
      </c>
      <c r="BJ63" s="78">
        <v>0</v>
      </c>
      <c r="BK63" s="78">
        <v>0</v>
      </c>
      <c r="BL63" s="78">
        <v>0</v>
      </c>
      <c r="BM63" s="66">
        <v>0</v>
      </c>
      <c r="BN63" s="78">
        <v>0</v>
      </c>
      <c r="BO63" s="78">
        <v>1</v>
      </c>
      <c r="BP63" s="78">
        <v>1</v>
      </c>
      <c r="BQ63">
        <v>0</v>
      </c>
      <c r="BR63" s="78">
        <v>0</v>
      </c>
      <c r="BS63" s="78">
        <v>0</v>
      </c>
      <c r="BT63" s="78">
        <v>0</v>
      </c>
      <c r="BU63" s="78">
        <v>0</v>
      </c>
      <c r="BV63" s="78">
        <v>0</v>
      </c>
      <c r="BW63" s="78">
        <v>1</v>
      </c>
      <c r="BX63" s="66">
        <f t="shared" si="3"/>
        <v>1</v>
      </c>
      <c r="BY63">
        <v>0</v>
      </c>
      <c r="BZ63">
        <f t="shared" si="4"/>
        <v>0</v>
      </c>
      <c r="CA63" s="39">
        <v>0</v>
      </c>
      <c r="CB63" s="39">
        <v>0</v>
      </c>
      <c r="CD63" s="39">
        <v>0</v>
      </c>
      <c r="CE63" s="39">
        <v>0</v>
      </c>
      <c r="CF63" s="39">
        <v>0</v>
      </c>
      <c r="CG63" s="39">
        <v>0</v>
      </c>
      <c r="CH63" s="39">
        <v>0</v>
      </c>
      <c r="CI63" s="39">
        <v>0</v>
      </c>
      <c r="CJ63" s="39">
        <v>0</v>
      </c>
      <c r="CK63" s="39">
        <v>0</v>
      </c>
      <c r="CL63" s="39">
        <v>0</v>
      </c>
      <c r="CM63" s="39">
        <v>0</v>
      </c>
      <c r="CN63" s="39">
        <v>0</v>
      </c>
      <c r="CO63">
        <f t="shared" si="7"/>
        <v>0</v>
      </c>
      <c r="CP63" s="39">
        <v>0</v>
      </c>
      <c r="CQ63" s="39">
        <v>0</v>
      </c>
      <c r="CR63" s="39">
        <v>1</v>
      </c>
      <c r="CS63" s="39">
        <v>0</v>
      </c>
      <c r="CT63" s="39">
        <v>0</v>
      </c>
      <c r="CU63" s="39">
        <v>0</v>
      </c>
      <c r="CV63" s="39">
        <v>0</v>
      </c>
      <c r="CW63" s="31"/>
      <c r="CX63" s="39">
        <v>1</v>
      </c>
      <c r="CY63">
        <v>0</v>
      </c>
      <c r="DA63" s="43">
        <v>43064</v>
      </c>
      <c r="DB63" s="66">
        <f t="shared" si="5"/>
        <v>0</v>
      </c>
      <c r="DC63" s="39" t="s">
        <v>1</v>
      </c>
      <c r="DD63" s="39">
        <v>0</v>
      </c>
      <c r="DE63" s="43">
        <v>43068</v>
      </c>
      <c r="DF63" s="39">
        <v>5</v>
      </c>
      <c r="DG63" s="43">
        <v>43064</v>
      </c>
      <c r="DH63" s="39">
        <v>12</v>
      </c>
      <c r="DI63" s="39">
        <v>4.3</v>
      </c>
      <c r="DJ63" s="39">
        <v>0.7</v>
      </c>
      <c r="DK63" s="80">
        <v>172</v>
      </c>
      <c r="DL63" s="39">
        <v>4</v>
      </c>
      <c r="DM63" s="39">
        <v>55</v>
      </c>
      <c r="DO63" s="39">
        <v>2</v>
      </c>
      <c r="DP63" s="39">
        <v>172</v>
      </c>
      <c r="DR63" s="39">
        <v>59</v>
      </c>
      <c r="DS63" s="39">
        <v>3.5</v>
      </c>
      <c r="DU63" s="39">
        <v>298</v>
      </c>
      <c r="DW63" s="43">
        <v>43064</v>
      </c>
      <c r="DX63" s="39">
        <v>6</v>
      </c>
      <c r="DY63" s="39">
        <v>3.9</v>
      </c>
      <c r="DZ63">
        <v>0</v>
      </c>
      <c r="EA63" s="39">
        <v>6</v>
      </c>
      <c r="EB63">
        <v>0</v>
      </c>
      <c r="EC63" s="39">
        <v>1.39</v>
      </c>
      <c r="ED63" s="39">
        <v>1.48</v>
      </c>
      <c r="EE63">
        <v>0</v>
      </c>
      <c r="EF63" s="39">
        <v>1.48</v>
      </c>
      <c r="EG63">
        <v>0</v>
      </c>
      <c r="EH63" s="39">
        <v>60</v>
      </c>
      <c r="EI63" s="62">
        <v>1</v>
      </c>
      <c r="EJ63" s="39">
        <v>60</v>
      </c>
      <c r="EK63">
        <v>0</v>
      </c>
      <c r="EL63">
        <f t="shared" si="6"/>
        <v>0</v>
      </c>
      <c r="EM63" s="39">
        <v>95</v>
      </c>
      <c r="EN63">
        <v>0</v>
      </c>
      <c r="ER63" s="39">
        <v>24</v>
      </c>
      <c r="ES63" s="39">
        <v>3</v>
      </c>
      <c r="ET63" s="39">
        <v>34</v>
      </c>
      <c r="EU63" s="39">
        <v>17</v>
      </c>
      <c r="EV63" s="39">
        <v>18</v>
      </c>
      <c r="EW63" s="39">
        <v>112</v>
      </c>
      <c r="EX63" s="39">
        <v>25</v>
      </c>
      <c r="EY63" s="39">
        <v>10</v>
      </c>
      <c r="FC63" s="39">
        <v>1</v>
      </c>
      <c r="FD63" s="39">
        <v>0</v>
      </c>
      <c r="FF63" s="39">
        <v>1</v>
      </c>
      <c r="FG63">
        <v>0</v>
      </c>
      <c r="FK63">
        <v>0</v>
      </c>
      <c r="FL63">
        <v>0</v>
      </c>
      <c r="FM63"/>
      <c r="FN63"/>
      <c r="FO63">
        <v>0</v>
      </c>
      <c r="FQ63" s="44">
        <v>43064</v>
      </c>
      <c r="FR63" s="44" t="s">
        <v>230</v>
      </c>
      <c r="FS63" s="45">
        <v>0</v>
      </c>
      <c r="FT63" s="45">
        <v>0</v>
      </c>
      <c r="FU63" s="45">
        <v>1</v>
      </c>
      <c r="FV63" s="45">
        <v>0</v>
      </c>
      <c r="FW63" s="45">
        <v>1</v>
      </c>
      <c r="FX63" s="45">
        <v>0</v>
      </c>
      <c r="FY63" s="45">
        <v>0</v>
      </c>
      <c r="FZ63" s="45">
        <v>0</v>
      </c>
      <c r="GA63" s="45">
        <v>1</v>
      </c>
      <c r="GB63" s="45">
        <v>1</v>
      </c>
      <c r="GC63" s="45">
        <v>1</v>
      </c>
      <c r="GD63" s="45">
        <v>1</v>
      </c>
      <c r="GE63" s="45">
        <v>0</v>
      </c>
      <c r="GF63" s="45">
        <v>0</v>
      </c>
      <c r="GG63" s="45">
        <v>0</v>
      </c>
      <c r="GH63" s="45">
        <v>0</v>
      </c>
      <c r="GI63" s="45">
        <v>1</v>
      </c>
      <c r="GJ63" s="45">
        <v>0</v>
      </c>
      <c r="GK63" s="45">
        <v>0</v>
      </c>
      <c r="GL63" s="45">
        <v>0</v>
      </c>
      <c r="GM63" s="45">
        <v>1</v>
      </c>
      <c r="GN63" s="45">
        <v>0</v>
      </c>
      <c r="GO63" s="45">
        <v>1</v>
      </c>
      <c r="GP63" s="45">
        <v>1</v>
      </c>
      <c r="GQ63" s="45">
        <v>0</v>
      </c>
      <c r="GR63" s="45">
        <v>0</v>
      </c>
      <c r="GS63" s="45">
        <v>1</v>
      </c>
      <c r="GT63" s="45">
        <v>1</v>
      </c>
      <c r="GU63" s="45">
        <v>1</v>
      </c>
      <c r="GV63" s="45">
        <v>0</v>
      </c>
      <c r="GW63" s="45">
        <v>0</v>
      </c>
      <c r="GX63" s="45">
        <v>0</v>
      </c>
      <c r="GY63" s="15">
        <v>0</v>
      </c>
      <c r="GZ63" s="15">
        <v>0</v>
      </c>
      <c r="HA63" s="45">
        <v>0</v>
      </c>
      <c r="HB63" s="45">
        <v>1</v>
      </c>
      <c r="HC63" s="45">
        <v>0</v>
      </c>
      <c r="HD63" s="45">
        <v>0</v>
      </c>
      <c r="HE63" s="15">
        <v>0</v>
      </c>
      <c r="HF63" s="15">
        <v>0</v>
      </c>
      <c r="HG63" s="45">
        <v>0</v>
      </c>
      <c r="HH63" s="45">
        <v>1</v>
      </c>
      <c r="HI63" s="45">
        <v>1</v>
      </c>
      <c r="HJ63" s="45">
        <v>1</v>
      </c>
      <c r="HK63" s="45">
        <v>0</v>
      </c>
      <c r="HL63" s="45">
        <v>1</v>
      </c>
      <c r="HM63" s="45"/>
      <c r="HN63" s="45">
        <v>0</v>
      </c>
      <c r="HO63" s="45">
        <v>1</v>
      </c>
      <c r="HP63" s="45">
        <v>0</v>
      </c>
      <c r="HQ63" s="45">
        <v>0</v>
      </c>
      <c r="HR63" s="45">
        <v>0</v>
      </c>
      <c r="HS63" s="45">
        <v>0</v>
      </c>
      <c r="HT63" s="45">
        <v>1</v>
      </c>
      <c r="HU63" s="45">
        <v>1</v>
      </c>
      <c r="HV63" s="45">
        <v>0</v>
      </c>
      <c r="HW63" s="45">
        <v>1</v>
      </c>
      <c r="HX63" s="45">
        <v>1</v>
      </c>
      <c r="HY63" s="45"/>
      <c r="HZ63" s="45"/>
      <c r="IA63" s="45"/>
      <c r="IB63" s="45"/>
      <c r="IC63" s="45"/>
      <c r="ID63" s="45"/>
      <c r="IE63" s="45"/>
      <c r="IF63" s="45"/>
      <c r="IG63" s="45"/>
      <c r="IH63" s="45"/>
      <c r="II63" s="45"/>
      <c r="IJ63" s="45"/>
      <c r="IK63" s="45"/>
      <c r="IL63" s="45"/>
      <c r="IM63" s="45"/>
      <c r="IN63" s="45"/>
      <c r="IO63" s="45"/>
      <c r="IP63" s="45"/>
      <c r="IQ63" s="45"/>
      <c r="IR63" s="45"/>
      <c r="IS63" s="45"/>
      <c r="IT63" s="45"/>
      <c r="IU63" s="45"/>
      <c r="IV63" s="45"/>
      <c r="IW63" s="45"/>
      <c r="IX63" s="45"/>
      <c r="IY63" s="45"/>
      <c r="IZ63" s="45"/>
      <c r="JA63" s="45"/>
      <c r="JB63" s="45"/>
      <c r="JC63" s="45"/>
      <c r="JD63" s="45"/>
      <c r="JE63" s="45"/>
      <c r="JF63" s="45"/>
      <c r="JG63" s="45"/>
      <c r="JH63" s="45"/>
      <c r="JI63" s="45"/>
      <c r="JJ63" s="45"/>
      <c r="JK63" s="45"/>
      <c r="JL63" s="45"/>
      <c r="JM63" s="45"/>
      <c r="JN63" s="45"/>
      <c r="JO63" s="45"/>
      <c r="JP63" s="45"/>
      <c r="JQ63" s="45"/>
      <c r="JR63" s="45"/>
      <c r="JS63" s="45"/>
      <c r="JT63" s="45"/>
      <c r="JU63" s="45"/>
      <c r="JV63" s="45"/>
      <c r="JW63" s="45"/>
      <c r="JX63" s="45"/>
      <c r="JY63" s="45"/>
      <c r="JZ63" s="45"/>
      <c r="KA63" s="45"/>
      <c r="KB63" s="45"/>
      <c r="KC63" s="45"/>
      <c r="KD63" s="45"/>
      <c r="KE63" s="45"/>
      <c r="KF63" s="45"/>
      <c r="KG63"/>
      <c r="KH63"/>
      <c r="KI63">
        <v>0</v>
      </c>
      <c r="KJ63">
        <v>0</v>
      </c>
      <c r="KK63">
        <v>1</v>
      </c>
      <c r="KL63">
        <v>0</v>
      </c>
      <c r="KM63">
        <v>1</v>
      </c>
      <c r="KN63">
        <v>0</v>
      </c>
      <c r="KO63">
        <v>0</v>
      </c>
      <c r="KP63">
        <v>0</v>
      </c>
      <c r="KQ63">
        <v>1</v>
      </c>
      <c r="KR63">
        <v>1</v>
      </c>
      <c r="KS63">
        <v>1</v>
      </c>
      <c r="KT63">
        <v>1</v>
      </c>
      <c r="KU63">
        <v>0</v>
      </c>
      <c r="KV63">
        <v>0</v>
      </c>
      <c r="KW63">
        <v>0</v>
      </c>
      <c r="KX63">
        <v>0</v>
      </c>
      <c r="KY63">
        <v>1</v>
      </c>
      <c r="KZ63">
        <v>0</v>
      </c>
      <c r="LA63">
        <v>0</v>
      </c>
      <c r="LB63">
        <v>0</v>
      </c>
      <c r="LC63">
        <v>1</v>
      </c>
      <c r="LD63">
        <v>0</v>
      </c>
      <c r="LE63">
        <v>1</v>
      </c>
      <c r="LF63">
        <v>1</v>
      </c>
      <c r="LG63">
        <v>0</v>
      </c>
      <c r="LH63">
        <v>0</v>
      </c>
      <c r="LI63">
        <v>1</v>
      </c>
      <c r="LJ63">
        <v>1</v>
      </c>
      <c r="LK63">
        <v>1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1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1</v>
      </c>
      <c r="LY63">
        <v>1</v>
      </c>
      <c r="LZ63">
        <v>1</v>
      </c>
      <c r="MA63">
        <v>0</v>
      </c>
      <c r="MB63">
        <v>1</v>
      </c>
      <c r="MC63">
        <v>0</v>
      </c>
      <c r="MD63">
        <v>0</v>
      </c>
      <c r="ME63">
        <v>1</v>
      </c>
      <c r="MF63">
        <v>0</v>
      </c>
      <c r="MG63">
        <v>0</v>
      </c>
      <c r="MH63">
        <v>0</v>
      </c>
      <c r="MI63">
        <v>0</v>
      </c>
      <c r="MJ63">
        <v>1</v>
      </c>
      <c r="MK63">
        <v>1</v>
      </c>
      <c r="ML63">
        <v>0</v>
      </c>
      <c r="MM63">
        <v>1</v>
      </c>
      <c r="MN63">
        <v>1</v>
      </c>
      <c r="MO63">
        <v>1</v>
      </c>
      <c r="MP63">
        <v>0</v>
      </c>
      <c r="MQ63">
        <v>1</v>
      </c>
      <c r="MR63">
        <v>1</v>
      </c>
    </row>
    <row r="64" spans="1:358" ht="18" x14ac:dyDescent="0.25">
      <c r="A64" t="s">
        <v>456</v>
      </c>
      <c r="B64" s="3">
        <v>39</v>
      </c>
      <c r="C64" s="3">
        <v>1</v>
      </c>
      <c r="D64" s="3">
        <v>0</v>
      </c>
      <c r="E64" s="3"/>
      <c r="F64" s="55">
        <v>180</v>
      </c>
      <c r="G64" s="55"/>
      <c r="H64" s="57">
        <v>0</v>
      </c>
      <c r="I64" s="57">
        <v>0</v>
      </c>
      <c r="J64" s="57"/>
      <c r="K64" s="3"/>
      <c r="L64" s="3"/>
      <c r="M64" s="3"/>
      <c r="N64" s="3">
        <v>0</v>
      </c>
      <c r="O64" s="2">
        <v>44986</v>
      </c>
      <c r="P64" s="64">
        <f t="shared" si="0"/>
        <v>180</v>
      </c>
      <c r="Q64">
        <v>3</v>
      </c>
      <c r="R64">
        <v>0</v>
      </c>
      <c r="S64">
        <v>1</v>
      </c>
      <c r="T64">
        <v>93</v>
      </c>
      <c r="U64">
        <v>0</v>
      </c>
      <c r="V64">
        <v>1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144</v>
      </c>
      <c r="AO64">
        <v>175</v>
      </c>
      <c r="AP64">
        <v>47</v>
      </c>
      <c r="AQ64">
        <v>37</v>
      </c>
      <c r="AR64">
        <v>139</v>
      </c>
      <c r="AS64">
        <v>99</v>
      </c>
      <c r="AT64">
        <v>3</v>
      </c>
      <c r="AU64">
        <v>1</v>
      </c>
      <c r="AV64">
        <v>127</v>
      </c>
      <c r="AW64" s="1">
        <v>44806</v>
      </c>
      <c r="AX64" s="1">
        <v>44806</v>
      </c>
      <c r="AY64">
        <v>0</v>
      </c>
      <c r="AZ64" s="1">
        <v>44773</v>
      </c>
      <c r="BA64">
        <v>1</v>
      </c>
      <c r="BB64">
        <v>1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 s="66">
        <v>0</v>
      </c>
      <c r="BN64">
        <v>0</v>
      </c>
      <c r="BO64">
        <v>0</v>
      </c>
      <c r="BP64" s="66">
        <f t="shared" ref="BP64:BP68" si="30">BJ64+BK64+BL64+BM64+BN64+BO64</f>
        <v>0</v>
      </c>
      <c r="BQ64">
        <v>0</v>
      </c>
      <c r="BR64">
        <v>0</v>
      </c>
      <c r="BS64">
        <v>0</v>
      </c>
      <c r="BT64">
        <v>0</v>
      </c>
      <c r="BU64" s="66">
        <f t="shared" ref="BU64:BU68" si="31">BM64</f>
        <v>0</v>
      </c>
      <c r="BV64">
        <v>0</v>
      </c>
      <c r="BW64">
        <v>0</v>
      </c>
      <c r="BX64" s="66">
        <f t="shared" si="3"/>
        <v>0</v>
      </c>
      <c r="BY64">
        <v>0</v>
      </c>
      <c r="BZ64">
        <f t="shared" si="4"/>
        <v>0</v>
      </c>
      <c r="CA64">
        <v>0</v>
      </c>
      <c r="CB64">
        <v>0</v>
      </c>
      <c r="CC64">
        <v>2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1</v>
      </c>
      <c r="CN64">
        <v>0</v>
      </c>
      <c r="CO64">
        <f>CN64+CK64+CJ64+CI64+CH64+CG64+CF64+CE64</f>
        <v>0</v>
      </c>
      <c r="CP64">
        <v>1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1</v>
      </c>
      <c r="CY64">
        <v>0</v>
      </c>
      <c r="DA64" s="1">
        <v>44812</v>
      </c>
      <c r="DB64" s="66">
        <f t="shared" si="5"/>
        <v>39</v>
      </c>
      <c r="DC64" t="s">
        <v>1</v>
      </c>
      <c r="DD64">
        <v>0</v>
      </c>
      <c r="DE64" s="1">
        <v>44816</v>
      </c>
      <c r="DF64">
        <v>5</v>
      </c>
      <c r="DG64" s="1">
        <v>44772</v>
      </c>
      <c r="DH64">
        <v>15</v>
      </c>
      <c r="DI64">
        <v>7.22</v>
      </c>
      <c r="DJ64">
        <v>3.1</v>
      </c>
      <c r="DK64" s="66">
        <v>310</v>
      </c>
      <c r="DL64">
        <v>8.1</v>
      </c>
      <c r="DM64">
        <v>75</v>
      </c>
      <c r="DO64">
        <v>1</v>
      </c>
      <c r="DP64">
        <v>310</v>
      </c>
      <c r="DR64">
        <v>39</v>
      </c>
      <c r="DS64">
        <v>0.8</v>
      </c>
      <c r="DT64">
        <v>263</v>
      </c>
      <c r="DU64">
        <v>72</v>
      </c>
      <c r="DV64">
        <v>3</v>
      </c>
      <c r="DW64" s="1">
        <v>44772</v>
      </c>
      <c r="DX64">
        <v>12</v>
      </c>
      <c r="DY64">
        <v>8.4</v>
      </c>
      <c r="DZ64">
        <v>0</v>
      </c>
      <c r="EA64">
        <v>12</v>
      </c>
      <c r="EB64">
        <v>0</v>
      </c>
      <c r="EC64">
        <v>0.7</v>
      </c>
      <c r="ED64">
        <f>EF64</f>
        <v>0.7</v>
      </c>
      <c r="EE64">
        <v>0</v>
      </c>
      <c r="EF64">
        <v>0.7</v>
      </c>
      <c r="EG64">
        <v>0</v>
      </c>
      <c r="EH64">
        <v>52</v>
      </c>
      <c r="EI64" s="62">
        <v>4.9615384615384599</v>
      </c>
      <c r="EJ64">
        <v>258</v>
      </c>
      <c r="EK64" s="39">
        <v>1</v>
      </c>
      <c r="EL64">
        <f t="shared" si="6"/>
        <v>206</v>
      </c>
      <c r="EM64">
        <v>258</v>
      </c>
      <c r="EN64" s="39">
        <v>1</v>
      </c>
      <c r="EO64">
        <v>0.03</v>
      </c>
      <c r="ER64">
        <v>26</v>
      </c>
      <c r="ET64">
        <v>28</v>
      </c>
      <c r="EU64">
        <v>15</v>
      </c>
      <c r="EV64">
        <v>85</v>
      </c>
      <c r="EW64">
        <v>65</v>
      </c>
      <c r="EX64">
        <v>6</v>
      </c>
      <c r="EY64">
        <v>2</v>
      </c>
      <c r="FC64">
        <v>1</v>
      </c>
      <c r="FD64">
        <v>0</v>
      </c>
      <c r="FF64">
        <v>1</v>
      </c>
      <c r="FG64">
        <v>0</v>
      </c>
      <c r="FI64"/>
      <c r="FK64">
        <v>0</v>
      </c>
      <c r="FL64">
        <v>0</v>
      </c>
      <c r="FO64">
        <v>0</v>
      </c>
      <c r="FQ64" s="22">
        <v>44772</v>
      </c>
      <c r="FR64" s="15" t="s">
        <v>230</v>
      </c>
      <c r="FS64" s="15">
        <v>1</v>
      </c>
      <c r="FT64" s="15">
        <v>0</v>
      </c>
      <c r="FU64" s="15">
        <v>1</v>
      </c>
      <c r="FV64" s="15">
        <v>0</v>
      </c>
      <c r="FW64" s="15">
        <v>1</v>
      </c>
      <c r="FX64" s="15">
        <v>0</v>
      </c>
      <c r="FY64" s="15">
        <v>0</v>
      </c>
      <c r="FZ64" s="15">
        <v>0</v>
      </c>
      <c r="GA64" s="15">
        <v>0</v>
      </c>
      <c r="GB64" s="15">
        <v>0</v>
      </c>
      <c r="GC64" s="15">
        <v>1</v>
      </c>
      <c r="GD64" s="15">
        <v>0</v>
      </c>
      <c r="GE64" s="15">
        <v>1</v>
      </c>
      <c r="GF64" s="15">
        <v>1</v>
      </c>
      <c r="GG64" s="15">
        <v>1</v>
      </c>
      <c r="GH64" s="15">
        <v>1</v>
      </c>
      <c r="GI64" s="15">
        <v>1</v>
      </c>
      <c r="GJ64" s="15">
        <v>0</v>
      </c>
      <c r="GK64" s="15">
        <v>0</v>
      </c>
      <c r="GL64" s="15">
        <v>1</v>
      </c>
      <c r="GM64" s="15">
        <v>0</v>
      </c>
      <c r="GN64" s="15">
        <v>0</v>
      </c>
      <c r="GO64" s="15">
        <v>0</v>
      </c>
      <c r="GP64" s="15">
        <v>0</v>
      </c>
      <c r="GQ64" s="15">
        <v>0</v>
      </c>
      <c r="GR64" s="15">
        <v>0</v>
      </c>
      <c r="GS64" s="15">
        <v>0</v>
      </c>
      <c r="GT64" s="15">
        <v>0</v>
      </c>
      <c r="GU64" s="15">
        <v>1</v>
      </c>
      <c r="GV64" s="15">
        <v>0</v>
      </c>
      <c r="GW64" s="15">
        <v>0</v>
      </c>
      <c r="GX64" s="15">
        <v>0</v>
      </c>
      <c r="GY64" s="15">
        <v>0</v>
      </c>
      <c r="GZ64" s="15">
        <v>0</v>
      </c>
      <c r="HA64" s="15">
        <v>0</v>
      </c>
      <c r="HB64" s="15">
        <v>1</v>
      </c>
      <c r="HC64" s="15">
        <v>0</v>
      </c>
      <c r="HD64" s="15">
        <v>0</v>
      </c>
      <c r="HE64" s="15">
        <v>0</v>
      </c>
      <c r="HF64" s="15">
        <v>0</v>
      </c>
      <c r="HG64" s="15">
        <v>0</v>
      </c>
      <c r="HH64" s="15">
        <v>0</v>
      </c>
      <c r="HI64" s="15">
        <v>0</v>
      </c>
      <c r="HJ64" s="15">
        <v>0</v>
      </c>
      <c r="HK64" s="15">
        <v>0</v>
      </c>
      <c r="HL64" s="15">
        <v>0</v>
      </c>
      <c r="HM64" s="15">
        <v>0</v>
      </c>
      <c r="HN64" s="15">
        <v>0</v>
      </c>
      <c r="HO64" s="15">
        <v>1</v>
      </c>
      <c r="HP64" s="15">
        <v>0</v>
      </c>
      <c r="HQ64" s="15">
        <v>0</v>
      </c>
      <c r="HR64" s="15">
        <v>0</v>
      </c>
      <c r="HS64" s="15">
        <v>0</v>
      </c>
      <c r="HT64" s="15">
        <v>0</v>
      </c>
      <c r="HU64" s="15">
        <v>0</v>
      </c>
      <c r="HV64" s="15">
        <v>0</v>
      </c>
      <c r="HW64" s="15">
        <v>0</v>
      </c>
      <c r="HX64" s="15">
        <v>0</v>
      </c>
      <c r="HY64" s="22">
        <v>44776</v>
      </c>
      <c r="HZ64" s="15" t="s">
        <v>230</v>
      </c>
      <c r="IA64" s="15">
        <v>1</v>
      </c>
      <c r="IB64" s="15">
        <v>0</v>
      </c>
      <c r="IC64" s="15">
        <v>1</v>
      </c>
      <c r="ID64" s="15">
        <v>0</v>
      </c>
      <c r="IE64" s="15">
        <v>1</v>
      </c>
      <c r="IF64" s="15">
        <v>0</v>
      </c>
      <c r="IG64" s="15">
        <v>0</v>
      </c>
      <c r="IH64" s="15">
        <v>0</v>
      </c>
      <c r="II64" s="15">
        <v>0</v>
      </c>
      <c r="IJ64" s="15">
        <v>0</v>
      </c>
      <c r="IK64" s="15">
        <v>1</v>
      </c>
      <c r="IL64" s="15">
        <v>0</v>
      </c>
      <c r="IM64" s="15">
        <v>1</v>
      </c>
      <c r="IN64" s="15">
        <v>1</v>
      </c>
      <c r="IO64" s="15">
        <v>1</v>
      </c>
      <c r="IP64" s="15">
        <v>1</v>
      </c>
      <c r="IQ64" s="15">
        <v>1</v>
      </c>
      <c r="IR64" s="15">
        <v>0</v>
      </c>
      <c r="IS64" s="15">
        <v>0</v>
      </c>
      <c r="IT64" s="15">
        <v>1</v>
      </c>
      <c r="IU64" s="15">
        <v>0</v>
      </c>
      <c r="IV64" s="15">
        <v>0</v>
      </c>
      <c r="IW64" s="15">
        <v>0</v>
      </c>
      <c r="IX64" s="15">
        <v>0</v>
      </c>
      <c r="IY64" s="15">
        <v>0</v>
      </c>
      <c r="IZ64" s="15">
        <v>0</v>
      </c>
      <c r="JA64" s="15">
        <v>0</v>
      </c>
      <c r="JB64" s="15">
        <v>0</v>
      </c>
      <c r="JC64" s="15">
        <v>1</v>
      </c>
      <c r="JD64" s="15">
        <v>0</v>
      </c>
      <c r="JE64" s="15">
        <v>0</v>
      </c>
      <c r="JF64" s="15">
        <v>0</v>
      </c>
      <c r="JG64" s="15">
        <v>0</v>
      </c>
      <c r="JH64" s="15">
        <v>0</v>
      </c>
      <c r="JI64" s="15">
        <v>0</v>
      </c>
      <c r="JJ64" s="15">
        <v>1</v>
      </c>
      <c r="JK64" s="15">
        <v>0</v>
      </c>
      <c r="JL64" s="15">
        <v>0</v>
      </c>
      <c r="JM64" s="15">
        <v>0</v>
      </c>
      <c r="JN64" s="15">
        <v>0</v>
      </c>
      <c r="JO64" s="15">
        <v>0</v>
      </c>
      <c r="JP64" s="15">
        <v>0</v>
      </c>
      <c r="JQ64" s="15">
        <v>0</v>
      </c>
      <c r="JR64" s="15">
        <v>0</v>
      </c>
      <c r="JS64" s="15">
        <v>0</v>
      </c>
      <c r="JT64" s="15">
        <v>0</v>
      </c>
      <c r="JU64" s="15">
        <v>0</v>
      </c>
      <c r="JV64" s="15">
        <v>0</v>
      </c>
      <c r="JW64" s="15">
        <v>1</v>
      </c>
      <c r="JX64" s="15">
        <v>0</v>
      </c>
      <c r="JY64" s="15">
        <v>0</v>
      </c>
      <c r="JZ64" s="15">
        <v>0</v>
      </c>
      <c r="KA64" s="15">
        <v>0</v>
      </c>
      <c r="KB64" s="15">
        <v>0</v>
      </c>
      <c r="KC64" s="15">
        <v>1</v>
      </c>
      <c r="KD64" s="15">
        <v>0</v>
      </c>
      <c r="KE64" s="15">
        <v>0</v>
      </c>
      <c r="KF64" s="15">
        <v>0</v>
      </c>
      <c r="KI64">
        <v>1</v>
      </c>
      <c r="KJ64">
        <v>0</v>
      </c>
      <c r="KK64">
        <v>1</v>
      </c>
      <c r="KL64">
        <v>0</v>
      </c>
      <c r="KM64">
        <v>1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1</v>
      </c>
      <c r="KT64">
        <v>0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0</v>
      </c>
      <c r="LA64">
        <v>0</v>
      </c>
      <c r="LB64">
        <v>1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1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1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1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1</v>
      </c>
      <c r="ML64">
        <v>0</v>
      </c>
      <c r="MM64">
        <v>0</v>
      </c>
      <c r="MN64">
        <v>0</v>
      </c>
      <c r="MO64">
        <v>0</v>
      </c>
      <c r="MP64">
        <v>0</v>
      </c>
      <c r="MQ64">
        <f t="shared" si="10"/>
        <v>0</v>
      </c>
      <c r="MR64">
        <f t="shared" si="11"/>
        <v>0</v>
      </c>
    </row>
    <row r="65" spans="1:358" ht="18" x14ac:dyDescent="0.25">
      <c r="A65" t="s">
        <v>457</v>
      </c>
      <c r="B65" s="3">
        <v>74</v>
      </c>
      <c r="C65" s="3">
        <v>1</v>
      </c>
      <c r="D65" s="3">
        <v>0</v>
      </c>
      <c r="E65" s="3"/>
      <c r="F65" s="55">
        <v>45</v>
      </c>
      <c r="G65" s="55"/>
      <c r="H65" s="57">
        <v>0</v>
      </c>
      <c r="I65" s="57">
        <v>0</v>
      </c>
      <c r="J65" s="57"/>
      <c r="K65" s="3"/>
      <c r="L65" s="3"/>
      <c r="M65" s="3"/>
      <c r="N65" s="3">
        <v>0</v>
      </c>
      <c r="O65" s="2">
        <v>44754</v>
      </c>
      <c r="P65" s="64">
        <f t="shared" ref="P65:P96" si="32">O65-AX65</f>
        <v>45</v>
      </c>
      <c r="Q65">
        <v>1</v>
      </c>
      <c r="R65">
        <v>0</v>
      </c>
      <c r="S65">
        <v>0</v>
      </c>
      <c r="T65">
        <v>8</v>
      </c>
      <c r="U65">
        <v>0</v>
      </c>
      <c r="V65">
        <v>1</v>
      </c>
      <c r="W65">
        <v>1</v>
      </c>
      <c r="X65">
        <v>1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86</v>
      </c>
      <c r="AO65">
        <v>150</v>
      </c>
      <c r="AP65">
        <v>38.200000000000003</v>
      </c>
      <c r="AQ65">
        <v>37.4</v>
      </c>
      <c r="AR65">
        <v>147</v>
      </c>
      <c r="AS65">
        <v>82</v>
      </c>
      <c r="AV65">
        <v>63</v>
      </c>
      <c r="AW65" s="1">
        <v>44709</v>
      </c>
      <c r="AX65" s="1">
        <v>44709</v>
      </c>
      <c r="AY65">
        <v>0</v>
      </c>
      <c r="AZ65" s="1">
        <v>44707</v>
      </c>
      <c r="BA65">
        <v>1</v>
      </c>
      <c r="BB65">
        <v>0</v>
      </c>
      <c r="BC65">
        <v>0</v>
      </c>
      <c r="BD65">
        <v>0</v>
      </c>
      <c r="BE65">
        <v>1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 s="66">
        <v>0</v>
      </c>
      <c r="BN65">
        <v>0</v>
      </c>
      <c r="BO65">
        <v>0</v>
      </c>
      <c r="BP65" s="66">
        <f t="shared" si="30"/>
        <v>0</v>
      </c>
      <c r="BQ65">
        <v>0</v>
      </c>
      <c r="BR65">
        <v>0</v>
      </c>
      <c r="BS65">
        <v>0</v>
      </c>
      <c r="BT65">
        <v>0</v>
      </c>
      <c r="BU65" s="66">
        <f t="shared" si="31"/>
        <v>0</v>
      </c>
      <c r="BV65">
        <v>0</v>
      </c>
      <c r="BW65">
        <v>0</v>
      </c>
      <c r="BX65" s="66">
        <f t="shared" ref="BX65:BX96" si="33">BR65+BS65+BT65+BU65+BV65+BW65</f>
        <v>0</v>
      </c>
      <c r="BY65">
        <v>0</v>
      </c>
      <c r="BZ65">
        <f t="shared" ref="BZ65:BZ95" si="34">BY65+BQ65</f>
        <v>0</v>
      </c>
      <c r="CA65">
        <v>0</v>
      </c>
      <c r="CB65">
        <v>0</v>
      </c>
      <c r="CC65">
        <v>2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f t="shared" si="7"/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1</v>
      </c>
      <c r="DA65" s="1">
        <v>44714</v>
      </c>
      <c r="DB65" s="66">
        <f t="shared" ref="DB65:DB96" si="35">DA65-AZ65</f>
        <v>7</v>
      </c>
      <c r="DC65" t="s">
        <v>1</v>
      </c>
      <c r="DD65">
        <v>0</v>
      </c>
      <c r="DE65" s="1">
        <v>44722</v>
      </c>
      <c r="DF65">
        <v>9</v>
      </c>
      <c r="DG65" s="1">
        <v>44714</v>
      </c>
      <c r="DH65">
        <v>12</v>
      </c>
      <c r="DI65">
        <v>6.6</v>
      </c>
      <c r="DJ65">
        <v>1.5</v>
      </c>
      <c r="DK65" s="66">
        <v>173</v>
      </c>
      <c r="DL65">
        <v>4</v>
      </c>
      <c r="DM65">
        <v>73</v>
      </c>
      <c r="DO65">
        <v>1</v>
      </c>
      <c r="DP65">
        <v>173</v>
      </c>
      <c r="DR65">
        <v>79</v>
      </c>
      <c r="DS65">
        <v>5</v>
      </c>
      <c r="DU65">
        <v>94</v>
      </c>
      <c r="DW65" s="1">
        <v>44709</v>
      </c>
      <c r="DX65">
        <v>9</v>
      </c>
      <c r="DY65">
        <v>12</v>
      </c>
      <c r="DZ65">
        <v>0</v>
      </c>
      <c r="EA65">
        <v>12</v>
      </c>
      <c r="EB65">
        <v>0</v>
      </c>
      <c r="EC65">
        <v>2.2999999999999998</v>
      </c>
      <c r="ED65">
        <v>1.4</v>
      </c>
      <c r="EE65">
        <v>0</v>
      </c>
      <c r="EF65">
        <v>2.2999999999999998</v>
      </c>
      <c r="EG65">
        <v>1</v>
      </c>
      <c r="EH65">
        <v>51</v>
      </c>
      <c r="EI65" s="62">
        <v>1.0196078431372499</v>
      </c>
      <c r="EJ65">
        <v>52</v>
      </c>
      <c r="EK65">
        <v>0</v>
      </c>
      <c r="EL65">
        <f t="shared" ref="EL65:EL95" si="36">EJ65-EH65</f>
        <v>1</v>
      </c>
      <c r="EM65">
        <v>52</v>
      </c>
      <c r="EN65">
        <v>0</v>
      </c>
      <c r="EO65">
        <v>0.88</v>
      </c>
      <c r="ER65">
        <v>27</v>
      </c>
      <c r="ES65">
        <v>532</v>
      </c>
      <c r="ET65">
        <v>38</v>
      </c>
      <c r="EU65">
        <v>31</v>
      </c>
      <c r="EV65">
        <v>61</v>
      </c>
      <c r="EW65">
        <v>68</v>
      </c>
      <c r="EX65">
        <v>9</v>
      </c>
      <c r="EY65">
        <v>6</v>
      </c>
      <c r="FA65">
        <v>7.38</v>
      </c>
      <c r="FB65">
        <v>0</v>
      </c>
      <c r="FC65">
        <v>1</v>
      </c>
      <c r="FD65">
        <v>0</v>
      </c>
      <c r="FF65">
        <v>1</v>
      </c>
      <c r="FG65">
        <v>0</v>
      </c>
      <c r="FI65"/>
      <c r="FK65">
        <v>0</v>
      </c>
      <c r="FL65">
        <v>0</v>
      </c>
      <c r="FO65">
        <v>0</v>
      </c>
      <c r="FQ65" s="22">
        <v>44709</v>
      </c>
      <c r="FR65" s="22" t="s">
        <v>230</v>
      </c>
      <c r="FS65" s="15">
        <v>0</v>
      </c>
      <c r="FT65" s="15">
        <v>1</v>
      </c>
      <c r="FU65" s="15">
        <v>1</v>
      </c>
      <c r="FV65" s="15">
        <v>0</v>
      </c>
      <c r="FW65" s="15">
        <v>1</v>
      </c>
      <c r="FX65" s="15">
        <v>1</v>
      </c>
      <c r="FY65" s="15">
        <v>0</v>
      </c>
      <c r="FZ65" s="15">
        <v>0</v>
      </c>
      <c r="GA65" s="15">
        <v>1</v>
      </c>
      <c r="GB65" s="15">
        <v>1</v>
      </c>
      <c r="GC65" s="15">
        <v>1</v>
      </c>
      <c r="GD65" s="15">
        <v>1</v>
      </c>
      <c r="GE65" s="15">
        <v>1</v>
      </c>
      <c r="GF65" s="15">
        <v>0</v>
      </c>
      <c r="GG65" s="15">
        <v>0</v>
      </c>
      <c r="GH65" s="15">
        <v>0</v>
      </c>
      <c r="GI65" s="15">
        <v>0</v>
      </c>
      <c r="GJ65" s="15">
        <v>0</v>
      </c>
      <c r="GK65" s="15">
        <v>1</v>
      </c>
      <c r="GL65" s="15">
        <v>0</v>
      </c>
      <c r="GM65" s="15">
        <v>0</v>
      </c>
      <c r="GN65" s="15">
        <v>1</v>
      </c>
      <c r="GO65" s="15">
        <v>1</v>
      </c>
      <c r="GP65" s="15">
        <v>0</v>
      </c>
      <c r="GQ65" s="15">
        <v>1</v>
      </c>
      <c r="GR65" s="15">
        <v>1</v>
      </c>
      <c r="GS65" s="15">
        <v>1</v>
      </c>
      <c r="GT65" s="15">
        <v>0</v>
      </c>
      <c r="GU65" s="15">
        <v>1</v>
      </c>
      <c r="GV65" s="15">
        <v>0</v>
      </c>
      <c r="GW65" s="15">
        <v>0</v>
      </c>
      <c r="GX65" s="15">
        <v>0</v>
      </c>
      <c r="GY65" s="15">
        <v>0</v>
      </c>
      <c r="GZ65" s="15">
        <v>0</v>
      </c>
      <c r="HA65" s="15">
        <v>0</v>
      </c>
      <c r="HB65" s="15">
        <v>1</v>
      </c>
      <c r="HC65" s="15">
        <v>0</v>
      </c>
      <c r="HD65" s="15">
        <v>0</v>
      </c>
      <c r="HE65" s="15">
        <v>0</v>
      </c>
      <c r="HF65" s="15">
        <v>0</v>
      </c>
      <c r="HG65" s="15">
        <v>0</v>
      </c>
      <c r="HH65" s="15">
        <v>1</v>
      </c>
      <c r="HI65" s="15">
        <v>1</v>
      </c>
      <c r="HJ65" s="15">
        <v>1</v>
      </c>
      <c r="HK65" s="15">
        <v>0</v>
      </c>
      <c r="HL65" s="15">
        <v>1</v>
      </c>
      <c r="HM65" s="15"/>
      <c r="HN65" s="15">
        <v>0</v>
      </c>
      <c r="HO65" s="15">
        <v>1</v>
      </c>
      <c r="HP65" s="15">
        <v>1</v>
      </c>
      <c r="HQ65" s="15">
        <v>1</v>
      </c>
      <c r="HR65" s="15">
        <v>0</v>
      </c>
      <c r="HS65" s="15">
        <v>0</v>
      </c>
      <c r="HT65" s="15">
        <v>1</v>
      </c>
      <c r="HU65" s="15">
        <v>1</v>
      </c>
      <c r="HV65" s="15">
        <v>0</v>
      </c>
      <c r="HW65" s="15">
        <v>0</v>
      </c>
      <c r="HX65" s="15">
        <v>0</v>
      </c>
      <c r="HY65" s="22">
        <v>44715</v>
      </c>
      <c r="HZ65" s="15" t="s">
        <v>231</v>
      </c>
      <c r="IA65" s="15">
        <v>0</v>
      </c>
      <c r="IB65" s="15">
        <v>1</v>
      </c>
      <c r="IC65" s="15">
        <v>1</v>
      </c>
      <c r="ID65" s="15">
        <v>0</v>
      </c>
      <c r="IE65" s="15">
        <v>1</v>
      </c>
      <c r="IF65" s="15">
        <v>1</v>
      </c>
      <c r="IG65" s="15">
        <v>0</v>
      </c>
      <c r="IH65" s="15">
        <v>0</v>
      </c>
      <c r="II65" s="15">
        <v>1</v>
      </c>
      <c r="IJ65" s="15">
        <v>1</v>
      </c>
      <c r="IK65" s="15">
        <v>1</v>
      </c>
      <c r="IL65" s="15">
        <v>1</v>
      </c>
      <c r="IM65" s="15">
        <v>1</v>
      </c>
      <c r="IN65" s="15">
        <v>0</v>
      </c>
      <c r="IO65" s="15">
        <v>0</v>
      </c>
      <c r="IP65" s="15">
        <v>0</v>
      </c>
      <c r="IQ65" s="15">
        <v>0</v>
      </c>
      <c r="IR65" s="15">
        <v>0</v>
      </c>
      <c r="IS65" s="15">
        <v>1</v>
      </c>
      <c r="IT65" s="15">
        <v>0</v>
      </c>
      <c r="IU65" s="15">
        <v>1</v>
      </c>
      <c r="IV65" s="15">
        <v>0</v>
      </c>
      <c r="IW65" s="15">
        <v>1</v>
      </c>
      <c r="IX65" s="15">
        <v>1</v>
      </c>
      <c r="IY65" s="15">
        <v>0</v>
      </c>
      <c r="IZ65" s="15">
        <v>1</v>
      </c>
      <c r="JA65" s="15">
        <v>1</v>
      </c>
      <c r="JB65" s="15">
        <v>1</v>
      </c>
      <c r="JC65" s="15">
        <v>1</v>
      </c>
      <c r="JD65" s="15">
        <v>0</v>
      </c>
      <c r="JE65" s="15">
        <v>0</v>
      </c>
      <c r="JF65" s="15">
        <v>0</v>
      </c>
      <c r="JG65" s="15">
        <v>0</v>
      </c>
      <c r="JH65" s="15">
        <v>0</v>
      </c>
      <c r="JI65" s="15">
        <v>0</v>
      </c>
      <c r="JJ65" s="15">
        <v>1</v>
      </c>
      <c r="JK65" s="15">
        <v>0</v>
      </c>
      <c r="JL65" s="15">
        <v>0</v>
      </c>
      <c r="JM65" s="15">
        <v>0</v>
      </c>
      <c r="JN65" s="15">
        <v>0</v>
      </c>
      <c r="JO65" s="15">
        <v>0</v>
      </c>
      <c r="JP65" s="15">
        <v>0</v>
      </c>
      <c r="JQ65" s="15">
        <v>1</v>
      </c>
      <c r="JR65" s="15">
        <v>1</v>
      </c>
      <c r="JS65" s="15">
        <v>0</v>
      </c>
      <c r="JT65" s="15">
        <v>1</v>
      </c>
      <c r="JU65" s="15">
        <v>0</v>
      </c>
      <c r="JV65" s="15">
        <v>0</v>
      </c>
      <c r="JW65" s="15">
        <v>1</v>
      </c>
      <c r="JX65" s="15">
        <v>0</v>
      </c>
      <c r="JY65" s="15">
        <v>1</v>
      </c>
      <c r="JZ65" s="15">
        <v>0</v>
      </c>
      <c r="KA65" s="15">
        <v>0</v>
      </c>
      <c r="KB65" s="15">
        <v>1</v>
      </c>
      <c r="KC65" s="15">
        <v>1</v>
      </c>
      <c r="KD65" s="15">
        <v>0</v>
      </c>
      <c r="KE65" s="15">
        <v>0</v>
      </c>
      <c r="KF65" s="15">
        <v>0</v>
      </c>
      <c r="KI65">
        <v>0</v>
      </c>
      <c r="KJ65">
        <v>1</v>
      </c>
      <c r="KK65">
        <v>1</v>
      </c>
      <c r="KL65">
        <v>0</v>
      </c>
      <c r="KM65">
        <v>1</v>
      </c>
      <c r="KN65">
        <v>1</v>
      </c>
      <c r="KO65">
        <v>0</v>
      </c>
      <c r="KP65">
        <v>0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1</v>
      </c>
      <c r="LB65">
        <v>0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1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1</v>
      </c>
      <c r="LY65">
        <v>1</v>
      </c>
      <c r="LZ65">
        <v>1</v>
      </c>
      <c r="MA65">
        <v>0</v>
      </c>
      <c r="MB65">
        <v>1</v>
      </c>
      <c r="MC65">
        <v>0</v>
      </c>
      <c r="MD65">
        <v>0</v>
      </c>
      <c r="ME65">
        <v>1</v>
      </c>
      <c r="MF65">
        <v>1</v>
      </c>
      <c r="MG65">
        <v>1</v>
      </c>
      <c r="MH65">
        <v>0</v>
      </c>
      <c r="MI65">
        <v>0</v>
      </c>
      <c r="MJ65">
        <v>1</v>
      </c>
      <c r="MK65">
        <v>1</v>
      </c>
      <c r="ML65">
        <v>0</v>
      </c>
      <c r="MM65">
        <v>0</v>
      </c>
      <c r="MN65">
        <v>0</v>
      </c>
      <c r="MO65">
        <v>1</v>
      </c>
      <c r="MP65">
        <v>0</v>
      </c>
      <c r="MQ65">
        <v>1</v>
      </c>
      <c r="MR65">
        <v>1</v>
      </c>
      <c r="MS65">
        <v>1</v>
      </c>
      <c r="MT65">
        <v>0</v>
      </c>
    </row>
    <row r="66" spans="1:358" ht="18" x14ac:dyDescent="0.25">
      <c r="A66" t="s">
        <v>458</v>
      </c>
      <c r="B66" s="3">
        <v>73</v>
      </c>
      <c r="C66" s="3">
        <v>0</v>
      </c>
      <c r="D66" s="3">
        <v>0</v>
      </c>
      <c r="E66" s="3"/>
      <c r="F66" s="55">
        <v>258</v>
      </c>
      <c r="G66" s="55"/>
      <c r="H66" s="57">
        <v>0</v>
      </c>
      <c r="I66" s="57">
        <v>0</v>
      </c>
      <c r="J66" s="57"/>
      <c r="K66" s="3"/>
      <c r="L66" s="3"/>
      <c r="M66" s="3"/>
      <c r="N66" s="3">
        <v>0</v>
      </c>
      <c r="O66" s="2">
        <v>45070</v>
      </c>
      <c r="P66" s="64">
        <f t="shared" si="32"/>
        <v>258</v>
      </c>
      <c r="Q66">
        <v>1</v>
      </c>
      <c r="R66">
        <v>0</v>
      </c>
      <c r="S66">
        <v>0</v>
      </c>
      <c r="T66">
        <v>78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86</v>
      </c>
      <c r="AO66">
        <v>170</v>
      </c>
      <c r="AP66">
        <v>29.8</v>
      </c>
      <c r="AQ66">
        <v>38.200000000000003</v>
      </c>
      <c r="AR66">
        <v>150</v>
      </c>
      <c r="AS66">
        <v>80</v>
      </c>
      <c r="AW66" s="1">
        <v>44812</v>
      </c>
      <c r="AX66" s="1">
        <v>44812</v>
      </c>
      <c r="AY66">
        <v>0</v>
      </c>
      <c r="AZ66" s="1">
        <v>44809</v>
      </c>
      <c r="BA66">
        <v>1</v>
      </c>
      <c r="BB66" s="39">
        <v>0</v>
      </c>
      <c r="BC66">
        <v>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 s="66">
        <v>0</v>
      </c>
      <c r="BN66">
        <v>0</v>
      </c>
      <c r="BO66">
        <v>0</v>
      </c>
      <c r="BP66" s="66">
        <f t="shared" si="30"/>
        <v>0</v>
      </c>
      <c r="BQ66">
        <v>0</v>
      </c>
      <c r="BR66">
        <v>0</v>
      </c>
      <c r="BS66">
        <v>3</v>
      </c>
      <c r="BT66">
        <v>0</v>
      </c>
      <c r="BU66" s="66">
        <f t="shared" si="31"/>
        <v>0</v>
      </c>
      <c r="BV66">
        <v>0</v>
      </c>
      <c r="BW66">
        <v>0</v>
      </c>
      <c r="BX66" s="66">
        <f t="shared" si="33"/>
        <v>3</v>
      </c>
      <c r="BY66" s="39">
        <v>1</v>
      </c>
      <c r="BZ66">
        <v>1</v>
      </c>
      <c r="CA66">
        <v>0</v>
      </c>
      <c r="CB66">
        <v>1</v>
      </c>
      <c r="CD66">
        <v>0</v>
      </c>
      <c r="CE66">
        <v>0</v>
      </c>
      <c r="CF66">
        <v>0</v>
      </c>
      <c r="CG66">
        <v>0</v>
      </c>
      <c r="CH66">
        <v>1</v>
      </c>
      <c r="CI66">
        <v>0</v>
      </c>
      <c r="CJ66">
        <v>0</v>
      </c>
      <c r="CK66">
        <v>0</v>
      </c>
      <c r="CL66">
        <v>1</v>
      </c>
      <c r="CM66">
        <v>0</v>
      </c>
      <c r="CN66">
        <v>0</v>
      </c>
      <c r="CO66">
        <v>1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DA66" s="1">
        <v>44819</v>
      </c>
      <c r="DB66" s="66">
        <f t="shared" si="35"/>
        <v>10</v>
      </c>
      <c r="DC66" t="s">
        <v>6</v>
      </c>
      <c r="DD66">
        <v>0</v>
      </c>
      <c r="DE66" s="1">
        <v>44825</v>
      </c>
      <c r="DF66">
        <v>7</v>
      </c>
      <c r="DG66" s="1">
        <v>44820</v>
      </c>
      <c r="DH66">
        <v>12</v>
      </c>
      <c r="DI66">
        <v>6.2</v>
      </c>
      <c r="DJ66">
        <v>1.3</v>
      </c>
      <c r="DK66" s="66">
        <v>406</v>
      </c>
      <c r="DM66">
        <v>73</v>
      </c>
      <c r="DO66">
        <v>8</v>
      </c>
      <c r="DP66">
        <v>406</v>
      </c>
      <c r="DR66">
        <v>80</v>
      </c>
      <c r="DS66">
        <v>2.4</v>
      </c>
      <c r="DT66">
        <v>266</v>
      </c>
      <c r="DW66" s="1">
        <v>44812</v>
      </c>
      <c r="DX66">
        <v>8</v>
      </c>
      <c r="DY66">
        <f>EA66</f>
        <v>17</v>
      </c>
      <c r="DZ66">
        <v>1</v>
      </c>
      <c r="EA66">
        <v>17</v>
      </c>
      <c r="EB66">
        <v>1</v>
      </c>
      <c r="EC66">
        <v>2.6</v>
      </c>
      <c r="ED66">
        <f>EF66</f>
        <v>2.6</v>
      </c>
      <c r="EE66">
        <v>1</v>
      </c>
      <c r="EF66">
        <v>2.6</v>
      </c>
      <c r="EG66">
        <v>1</v>
      </c>
      <c r="EH66">
        <v>179</v>
      </c>
      <c r="EI66" s="62">
        <v>1.17877094972067</v>
      </c>
      <c r="EJ66">
        <v>211</v>
      </c>
      <c r="EK66" s="39">
        <v>1</v>
      </c>
      <c r="EL66">
        <f t="shared" si="36"/>
        <v>32</v>
      </c>
      <c r="EM66">
        <v>211</v>
      </c>
      <c r="EN66" s="39">
        <v>1</v>
      </c>
      <c r="EO66">
        <v>0</v>
      </c>
      <c r="ER66">
        <v>20</v>
      </c>
      <c r="ES66">
        <v>353</v>
      </c>
      <c r="ET66">
        <v>32</v>
      </c>
      <c r="EU66">
        <v>25</v>
      </c>
      <c r="EV66">
        <v>103</v>
      </c>
      <c r="EW66">
        <v>73</v>
      </c>
      <c r="EX66">
        <v>13</v>
      </c>
      <c r="EY66">
        <v>8</v>
      </c>
      <c r="FC66">
        <v>0</v>
      </c>
      <c r="FF66">
        <v>1</v>
      </c>
      <c r="FG66">
        <v>0</v>
      </c>
      <c r="FI66"/>
      <c r="FK66">
        <v>0</v>
      </c>
      <c r="FL66">
        <v>0</v>
      </c>
      <c r="FO66">
        <v>0</v>
      </c>
      <c r="FQ66" s="22">
        <v>44812</v>
      </c>
      <c r="FR66" s="22" t="s">
        <v>230</v>
      </c>
      <c r="FS66" s="15">
        <v>1</v>
      </c>
      <c r="FT66" s="15">
        <v>0</v>
      </c>
      <c r="FU66" s="15">
        <v>1</v>
      </c>
      <c r="FV66" s="15">
        <v>0</v>
      </c>
      <c r="FW66" s="15">
        <v>1</v>
      </c>
      <c r="FX66" s="15">
        <v>0</v>
      </c>
      <c r="FY66" s="15">
        <v>0</v>
      </c>
      <c r="FZ66" s="15">
        <v>0</v>
      </c>
      <c r="GA66" s="15">
        <v>0</v>
      </c>
      <c r="GB66" s="15">
        <v>0</v>
      </c>
      <c r="GC66" s="15">
        <v>1</v>
      </c>
      <c r="GD66" s="15">
        <v>1</v>
      </c>
      <c r="GE66" s="15">
        <v>1</v>
      </c>
      <c r="GF66" s="15">
        <v>0</v>
      </c>
      <c r="GG66" s="15">
        <v>0</v>
      </c>
      <c r="GH66" s="15">
        <v>0</v>
      </c>
      <c r="GI66" s="15">
        <v>1</v>
      </c>
      <c r="GJ66" s="15">
        <v>0</v>
      </c>
      <c r="GK66" s="15">
        <v>0</v>
      </c>
      <c r="GL66" s="15">
        <v>0</v>
      </c>
      <c r="GM66" s="15">
        <v>1</v>
      </c>
      <c r="GN66" s="15">
        <v>0</v>
      </c>
      <c r="GO66" s="15">
        <v>1</v>
      </c>
      <c r="GP66" s="15">
        <v>1</v>
      </c>
      <c r="GQ66" s="15">
        <v>0</v>
      </c>
      <c r="GR66" s="15">
        <v>0</v>
      </c>
      <c r="GS66" s="15">
        <v>1</v>
      </c>
      <c r="GT66" s="15">
        <v>0</v>
      </c>
      <c r="GU66" s="15">
        <v>1</v>
      </c>
      <c r="GV66" s="15">
        <v>0</v>
      </c>
      <c r="GW66" s="15">
        <v>0</v>
      </c>
      <c r="GX66" s="15">
        <v>0</v>
      </c>
      <c r="GY66" s="15">
        <v>0</v>
      </c>
      <c r="GZ66" s="15">
        <v>0</v>
      </c>
      <c r="HA66" s="15">
        <v>0</v>
      </c>
      <c r="HB66" s="15">
        <v>1</v>
      </c>
      <c r="HC66" s="15">
        <v>0</v>
      </c>
      <c r="HD66" s="15">
        <v>0</v>
      </c>
      <c r="HE66" s="15">
        <v>0</v>
      </c>
      <c r="HF66" s="15">
        <v>0</v>
      </c>
      <c r="HG66" s="15">
        <v>0</v>
      </c>
      <c r="HH66" s="15">
        <v>1</v>
      </c>
      <c r="HI66" s="15">
        <v>1</v>
      </c>
      <c r="HJ66" s="15">
        <v>1</v>
      </c>
      <c r="HK66" s="15">
        <v>0</v>
      </c>
      <c r="HL66" s="15">
        <v>1</v>
      </c>
      <c r="HM66" s="15">
        <v>1</v>
      </c>
      <c r="HN66" s="15">
        <v>1</v>
      </c>
      <c r="HO66" s="15">
        <v>1</v>
      </c>
      <c r="HP66" s="15">
        <v>0</v>
      </c>
      <c r="HQ66" s="15">
        <v>0</v>
      </c>
      <c r="HR66" s="15">
        <v>0</v>
      </c>
      <c r="HS66" s="15">
        <v>0</v>
      </c>
      <c r="HT66" s="15">
        <v>1</v>
      </c>
      <c r="HU66" s="15">
        <v>1</v>
      </c>
      <c r="HV66" s="15">
        <v>0</v>
      </c>
      <c r="HW66" s="15">
        <v>0</v>
      </c>
      <c r="HX66" s="15">
        <v>0</v>
      </c>
      <c r="HY66" s="22">
        <v>44814</v>
      </c>
      <c r="HZ66" s="15" t="s">
        <v>230</v>
      </c>
      <c r="IA66" s="15">
        <v>1</v>
      </c>
      <c r="IB66" s="15">
        <v>1</v>
      </c>
      <c r="IC66" s="15">
        <v>1</v>
      </c>
      <c r="ID66" s="15">
        <v>0</v>
      </c>
      <c r="IE66" s="15">
        <v>1</v>
      </c>
      <c r="IF66" s="15">
        <v>0</v>
      </c>
      <c r="IG66" s="15">
        <v>0</v>
      </c>
      <c r="IH66" s="15">
        <v>0</v>
      </c>
      <c r="II66" s="15">
        <v>0</v>
      </c>
      <c r="IJ66" s="15">
        <v>0</v>
      </c>
      <c r="IK66" s="15">
        <v>1</v>
      </c>
      <c r="IL66" s="15">
        <v>0</v>
      </c>
      <c r="IM66" s="15">
        <v>1</v>
      </c>
      <c r="IN66" s="15">
        <v>0</v>
      </c>
      <c r="IO66" s="15">
        <v>0</v>
      </c>
      <c r="IP66" s="15">
        <v>0</v>
      </c>
      <c r="IQ66" s="15">
        <v>1</v>
      </c>
      <c r="IR66" s="15">
        <v>0</v>
      </c>
      <c r="IS66" s="15">
        <v>0</v>
      </c>
      <c r="IT66" s="15">
        <v>0</v>
      </c>
      <c r="IU66" s="15">
        <v>1</v>
      </c>
      <c r="IV66" s="15">
        <v>0</v>
      </c>
      <c r="IW66" s="15">
        <v>0</v>
      </c>
      <c r="IX66" s="15">
        <v>0</v>
      </c>
      <c r="IY66" s="15">
        <v>0</v>
      </c>
      <c r="IZ66" s="15">
        <v>0</v>
      </c>
      <c r="JA66" s="15">
        <v>0</v>
      </c>
      <c r="JB66" s="15">
        <v>0</v>
      </c>
      <c r="JC66" s="15">
        <v>1</v>
      </c>
      <c r="JD66" s="15">
        <v>0</v>
      </c>
      <c r="JE66" s="15">
        <v>0</v>
      </c>
      <c r="JF66" s="15">
        <v>0</v>
      </c>
      <c r="JG66" s="15">
        <v>0</v>
      </c>
      <c r="JH66" s="15">
        <v>0</v>
      </c>
      <c r="JI66" s="15">
        <v>0</v>
      </c>
      <c r="JJ66" s="15">
        <v>1</v>
      </c>
      <c r="JK66" s="15">
        <v>0</v>
      </c>
      <c r="JL66" s="15">
        <v>0</v>
      </c>
      <c r="JM66" s="15">
        <v>0</v>
      </c>
      <c r="JN66" s="15">
        <v>0</v>
      </c>
      <c r="JO66" s="15">
        <v>0</v>
      </c>
      <c r="JP66" s="15">
        <v>1</v>
      </c>
      <c r="JQ66" s="15">
        <v>1</v>
      </c>
      <c r="JR66" s="15">
        <v>0</v>
      </c>
      <c r="JS66" s="15">
        <v>0</v>
      </c>
      <c r="JT66" s="15">
        <v>1</v>
      </c>
      <c r="JU66" s="15">
        <v>1</v>
      </c>
      <c r="JV66" s="15">
        <v>1</v>
      </c>
      <c r="JW66" s="15">
        <v>1</v>
      </c>
      <c r="JX66" s="15">
        <v>0</v>
      </c>
      <c r="JY66" s="15">
        <v>0</v>
      </c>
      <c r="JZ66" s="15">
        <v>0</v>
      </c>
      <c r="KA66" s="15">
        <v>0</v>
      </c>
      <c r="KB66" s="15">
        <v>1</v>
      </c>
      <c r="KC66" s="15">
        <v>1</v>
      </c>
      <c r="KD66" s="15">
        <v>0</v>
      </c>
      <c r="KE66" s="15">
        <v>0</v>
      </c>
      <c r="KF66" s="15">
        <v>0</v>
      </c>
      <c r="KI66">
        <v>1</v>
      </c>
      <c r="KJ66">
        <v>1</v>
      </c>
      <c r="KK66">
        <v>1</v>
      </c>
      <c r="KL66">
        <v>0</v>
      </c>
      <c r="KM66">
        <v>1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1</v>
      </c>
      <c r="KT66">
        <v>1</v>
      </c>
      <c r="KU66">
        <v>1</v>
      </c>
      <c r="KV66">
        <v>0</v>
      </c>
      <c r="KW66">
        <v>0</v>
      </c>
      <c r="KX66">
        <v>0</v>
      </c>
      <c r="KY66">
        <v>1</v>
      </c>
      <c r="KZ66">
        <v>0</v>
      </c>
      <c r="LA66">
        <v>0</v>
      </c>
      <c r="LB66">
        <v>0</v>
      </c>
      <c r="LC66">
        <v>1</v>
      </c>
      <c r="LD66">
        <v>0</v>
      </c>
      <c r="LE66">
        <v>1</v>
      </c>
      <c r="LF66">
        <v>1</v>
      </c>
      <c r="LG66">
        <v>0</v>
      </c>
      <c r="LH66">
        <v>0</v>
      </c>
      <c r="LI66">
        <v>1</v>
      </c>
      <c r="LJ66">
        <v>0</v>
      </c>
      <c r="LK66">
        <v>1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1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1</v>
      </c>
      <c r="LY66">
        <v>1</v>
      </c>
      <c r="LZ66">
        <v>1</v>
      </c>
      <c r="MA66">
        <v>0</v>
      </c>
      <c r="MB66">
        <v>1</v>
      </c>
      <c r="MC66">
        <v>1</v>
      </c>
      <c r="MD66">
        <v>1</v>
      </c>
      <c r="ME66">
        <v>1</v>
      </c>
      <c r="MF66">
        <v>0</v>
      </c>
      <c r="MG66">
        <v>0</v>
      </c>
      <c r="MH66">
        <v>0</v>
      </c>
      <c r="MI66">
        <v>0</v>
      </c>
      <c r="MJ66">
        <v>1</v>
      </c>
      <c r="MK66">
        <v>1</v>
      </c>
      <c r="ML66">
        <v>0</v>
      </c>
      <c r="MM66">
        <v>0</v>
      </c>
      <c r="MN66">
        <v>0</v>
      </c>
      <c r="MO66">
        <v>1</v>
      </c>
      <c r="MP66">
        <v>1</v>
      </c>
      <c r="MQ66">
        <v>1</v>
      </c>
      <c r="MR66">
        <v>1</v>
      </c>
      <c r="MS66">
        <v>0</v>
      </c>
      <c r="MT66">
        <v>1</v>
      </c>
    </row>
    <row r="67" spans="1:358" ht="18" x14ac:dyDescent="0.25">
      <c r="A67" t="s">
        <v>459</v>
      </c>
      <c r="B67" s="3">
        <v>71</v>
      </c>
      <c r="C67" s="3">
        <v>0</v>
      </c>
      <c r="D67" s="3">
        <v>0</v>
      </c>
      <c r="E67" s="3"/>
      <c r="F67" s="55">
        <v>693</v>
      </c>
      <c r="G67" s="55"/>
      <c r="H67" s="57">
        <v>0</v>
      </c>
      <c r="I67" s="57">
        <v>0</v>
      </c>
      <c r="J67" s="57"/>
      <c r="K67" s="3"/>
      <c r="L67" s="3"/>
      <c r="M67" s="3"/>
      <c r="N67" s="3">
        <v>0</v>
      </c>
      <c r="O67" s="2">
        <v>45056</v>
      </c>
      <c r="P67" s="64">
        <f t="shared" si="32"/>
        <v>693</v>
      </c>
      <c r="Q67">
        <v>1</v>
      </c>
      <c r="R67">
        <v>0</v>
      </c>
      <c r="S67">
        <v>0</v>
      </c>
      <c r="T67">
        <v>45</v>
      </c>
      <c r="U67">
        <v>1</v>
      </c>
      <c r="V67">
        <v>1</v>
      </c>
      <c r="W67">
        <v>0</v>
      </c>
      <c r="X67">
        <v>0</v>
      </c>
      <c r="Y67">
        <v>0</v>
      </c>
      <c r="Z67">
        <v>1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97</v>
      </c>
      <c r="AO67">
        <v>175</v>
      </c>
      <c r="AP67">
        <v>31.7</v>
      </c>
      <c r="AQ67">
        <v>37.799999999999997</v>
      </c>
      <c r="AR67">
        <v>136</v>
      </c>
      <c r="AS67">
        <v>81</v>
      </c>
      <c r="AT67">
        <v>3</v>
      </c>
      <c r="AU67">
        <v>1</v>
      </c>
      <c r="AV67">
        <v>93</v>
      </c>
      <c r="AW67" s="1">
        <v>44363</v>
      </c>
      <c r="AX67" s="1">
        <v>44363</v>
      </c>
      <c r="AY67">
        <v>0</v>
      </c>
      <c r="AZ67" s="1">
        <v>44363</v>
      </c>
      <c r="BA67">
        <v>1</v>
      </c>
      <c r="BB67">
        <v>1</v>
      </c>
      <c r="BC67">
        <v>0</v>
      </c>
      <c r="BD67">
        <v>0</v>
      </c>
      <c r="BE67">
        <v>0</v>
      </c>
      <c r="BF67">
        <v>1</v>
      </c>
      <c r="BG67">
        <v>1</v>
      </c>
      <c r="BH67">
        <v>0</v>
      </c>
      <c r="BI67">
        <v>0</v>
      </c>
      <c r="BJ67">
        <v>0</v>
      </c>
      <c r="BK67">
        <v>0</v>
      </c>
      <c r="BL67">
        <v>0</v>
      </c>
      <c r="BM67" s="66">
        <v>0</v>
      </c>
      <c r="BN67">
        <v>0</v>
      </c>
      <c r="BO67">
        <v>0</v>
      </c>
      <c r="BP67" s="66">
        <f t="shared" si="30"/>
        <v>0</v>
      </c>
      <c r="BQ67">
        <v>0</v>
      </c>
      <c r="BR67">
        <v>0</v>
      </c>
      <c r="BS67">
        <v>0</v>
      </c>
      <c r="BT67">
        <v>0</v>
      </c>
      <c r="BU67" s="66">
        <f t="shared" si="31"/>
        <v>0</v>
      </c>
      <c r="BV67">
        <v>0</v>
      </c>
      <c r="BW67">
        <v>0</v>
      </c>
      <c r="BX67" s="66">
        <f t="shared" si="33"/>
        <v>0</v>
      </c>
      <c r="BY67">
        <v>0</v>
      </c>
      <c r="BZ67">
        <f t="shared" si="34"/>
        <v>0</v>
      </c>
      <c r="CA67">
        <v>0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1</v>
      </c>
      <c r="CI67">
        <v>0</v>
      </c>
      <c r="CJ67">
        <v>1</v>
      </c>
      <c r="CK67">
        <v>0</v>
      </c>
      <c r="CL67">
        <v>0</v>
      </c>
      <c r="CM67">
        <v>0</v>
      </c>
      <c r="CN67">
        <v>0</v>
      </c>
      <c r="CO67">
        <v>1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</v>
      </c>
      <c r="CY67">
        <v>0</v>
      </c>
      <c r="DA67" s="1">
        <v>44365</v>
      </c>
      <c r="DB67" s="66">
        <f t="shared" si="35"/>
        <v>2</v>
      </c>
      <c r="DC67" t="s">
        <v>1</v>
      </c>
      <c r="DD67">
        <v>0</v>
      </c>
      <c r="DE67" s="1">
        <v>44369</v>
      </c>
      <c r="DF67">
        <v>5</v>
      </c>
      <c r="DG67" s="1">
        <v>44365</v>
      </c>
      <c r="DH67">
        <v>11</v>
      </c>
      <c r="DI67">
        <v>4.3</v>
      </c>
      <c r="DJ67">
        <v>1.3</v>
      </c>
      <c r="DK67" s="66">
        <v>177</v>
      </c>
      <c r="DL67">
        <v>5</v>
      </c>
      <c r="DM67">
        <v>67</v>
      </c>
      <c r="DO67">
        <v>1</v>
      </c>
      <c r="DP67">
        <v>177</v>
      </c>
      <c r="DR67">
        <v>64</v>
      </c>
      <c r="DS67">
        <v>2.2000000000000002</v>
      </c>
      <c r="DW67" s="1">
        <v>44363</v>
      </c>
      <c r="DX67">
        <v>6</v>
      </c>
      <c r="DY67">
        <v>5</v>
      </c>
      <c r="DZ67">
        <v>0</v>
      </c>
      <c r="EA67">
        <v>6</v>
      </c>
      <c r="EB67">
        <v>0</v>
      </c>
      <c r="EC67">
        <v>1.87</v>
      </c>
      <c r="ED67">
        <v>1.3</v>
      </c>
      <c r="EE67">
        <v>0</v>
      </c>
      <c r="EF67">
        <v>1.87</v>
      </c>
      <c r="EG67">
        <v>0</v>
      </c>
      <c r="EH67">
        <v>151</v>
      </c>
      <c r="EI67" s="62">
        <v>0.47682119205298001</v>
      </c>
      <c r="EJ67">
        <v>72</v>
      </c>
      <c r="EK67">
        <v>0</v>
      </c>
      <c r="EL67">
        <f t="shared" si="36"/>
        <v>-79</v>
      </c>
      <c r="EM67">
        <v>151</v>
      </c>
      <c r="EN67">
        <v>0</v>
      </c>
      <c r="ET67">
        <v>26</v>
      </c>
      <c r="EU67">
        <v>11</v>
      </c>
      <c r="EV67">
        <v>61</v>
      </c>
      <c r="EW67">
        <v>40</v>
      </c>
      <c r="EX67">
        <v>11</v>
      </c>
      <c r="EY67">
        <v>7</v>
      </c>
      <c r="FB67">
        <v>0</v>
      </c>
      <c r="FC67">
        <v>0</v>
      </c>
      <c r="FF67">
        <v>0</v>
      </c>
      <c r="FG67">
        <v>0</v>
      </c>
      <c r="FI67"/>
      <c r="FK67">
        <v>0</v>
      </c>
      <c r="FL67">
        <v>0</v>
      </c>
      <c r="FO67">
        <v>0</v>
      </c>
      <c r="FQ67" s="22">
        <v>44363</v>
      </c>
      <c r="FR67" s="22" t="s">
        <v>230</v>
      </c>
      <c r="FS67" s="15">
        <v>1</v>
      </c>
      <c r="FT67" s="15">
        <v>1</v>
      </c>
      <c r="FU67" s="15">
        <v>1</v>
      </c>
      <c r="FV67" s="15">
        <v>0</v>
      </c>
      <c r="FW67" s="15">
        <v>1</v>
      </c>
      <c r="FX67" s="15">
        <v>1</v>
      </c>
      <c r="FY67" s="15">
        <v>1</v>
      </c>
      <c r="FZ67" s="15">
        <v>0</v>
      </c>
      <c r="GA67" s="15">
        <v>0</v>
      </c>
      <c r="GB67" s="15">
        <v>1</v>
      </c>
      <c r="GC67" s="15">
        <v>0</v>
      </c>
      <c r="GD67" s="15">
        <v>1</v>
      </c>
      <c r="GE67" s="15">
        <v>0</v>
      </c>
      <c r="GF67" s="15">
        <v>0</v>
      </c>
      <c r="GG67" s="15">
        <v>0</v>
      </c>
      <c r="GH67" s="15">
        <v>0</v>
      </c>
      <c r="GI67" s="15">
        <v>0</v>
      </c>
      <c r="GJ67" s="15">
        <v>1</v>
      </c>
      <c r="GK67" s="15">
        <v>0</v>
      </c>
      <c r="GL67" s="15">
        <v>0</v>
      </c>
      <c r="GM67" s="15">
        <v>1</v>
      </c>
      <c r="GN67" s="15">
        <v>0</v>
      </c>
      <c r="GO67" s="15">
        <v>1</v>
      </c>
      <c r="GP67" s="15">
        <v>0</v>
      </c>
      <c r="GQ67" s="15">
        <v>1</v>
      </c>
      <c r="GR67" s="15">
        <v>1</v>
      </c>
      <c r="GS67" s="15">
        <v>1</v>
      </c>
      <c r="GT67" s="15">
        <v>1</v>
      </c>
      <c r="GU67" s="15">
        <v>1</v>
      </c>
      <c r="GV67" s="15">
        <v>0</v>
      </c>
      <c r="GW67" s="15">
        <v>0</v>
      </c>
      <c r="GX67" s="15">
        <v>0</v>
      </c>
      <c r="GY67" s="15">
        <v>0</v>
      </c>
      <c r="GZ67" s="15">
        <v>0</v>
      </c>
      <c r="HA67" s="15">
        <v>0</v>
      </c>
      <c r="HB67" s="15">
        <v>1</v>
      </c>
      <c r="HC67" s="15">
        <v>0</v>
      </c>
      <c r="HD67" s="15">
        <v>0</v>
      </c>
      <c r="HE67" s="15">
        <v>0</v>
      </c>
      <c r="HF67" s="15">
        <v>0</v>
      </c>
      <c r="HG67" s="15">
        <v>0</v>
      </c>
      <c r="HH67" s="15">
        <v>0</v>
      </c>
      <c r="HI67" s="15">
        <v>1</v>
      </c>
      <c r="HJ67" s="15">
        <v>0</v>
      </c>
      <c r="HK67" s="15">
        <v>0</v>
      </c>
      <c r="HL67" s="15">
        <v>1</v>
      </c>
      <c r="HM67" s="15">
        <v>0</v>
      </c>
      <c r="HN67" s="15">
        <v>1</v>
      </c>
      <c r="HO67" s="15">
        <v>1</v>
      </c>
      <c r="HP67" s="15">
        <v>0</v>
      </c>
      <c r="HQ67" s="15">
        <v>0</v>
      </c>
      <c r="HR67" s="15">
        <v>0</v>
      </c>
      <c r="HS67" s="15">
        <v>0</v>
      </c>
      <c r="HT67" s="15">
        <v>1</v>
      </c>
      <c r="HU67" s="15">
        <v>1</v>
      </c>
      <c r="HV67" s="15">
        <v>0</v>
      </c>
      <c r="HW67" s="15">
        <v>0</v>
      </c>
      <c r="HX67" s="15">
        <v>1</v>
      </c>
      <c r="HY67" s="22">
        <v>44367</v>
      </c>
      <c r="HZ67" s="15" t="s">
        <v>231</v>
      </c>
      <c r="IA67" s="15">
        <v>1</v>
      </c>
      <c r="IB67" s="15">
        <v>1</v>
      </c>
      <c r="IC67" s="15">
        <v>1</v>
      </c>
      <c r="ID67" s="15">
        <v>0</v>
      </c>
      <c r="IE67" s="15">
        <v>1</v>
      </c>
      <c r="IF67" s="15">
        <v>1</v>
      </c>
      <c r="IG67" s="15">
        <v>1</v>
      </c>
      <c r="IH67" s="15">
        <v>0</v>
      </c>
      <c r="II67" s="15">
        <v>0</v>
      </c>
      <c r="IJ67" s="15">
        <v>1</v>
      </c>
      <c r="IK67" s="15">
        <v>0</v>
      </c>
      <c r="IL67" s="15">
        <v>1</v>
      </c>
      <c r="IM67" s="15">
        <v>0</v>
      </c>
      <c r="IN67" s="15">
        <v>0</v>
      </c>
      <c r="IO67" s="15">
        <v>0</v>
      </c>
      <c r="IP67" s="15">
        <v>0</v>
      </c>
      <c r="IQ67" s="15">
        <v>0</v>
      </c>
      <c r="IR67" s="15">
        <v>1</v>
      </c>
      <c r="IS67" s="15">
        <v>0</v>
      </c>
      <c r="IT67" s="15">
        <v>0</v>
      </c>
      <c r="IU67" s="15">
        <v>1</v>
      </c>
      <c r="IV67" s="15">
        <v>0</v>
      </c>
      <c r="IW67" s="15">
        <v>1</v>
      </c>
      <c r="IX67" s="15">
        <v>1</v>
      </c>
      <c r="IY67" s="15">
        <v>0</v>
      </c>
      <c r="IZ67" s="15">
        <v>1</v>
      </c>
      <c r="JA67" s="15">
        <v>1</v>
      </c>
      <c r="JB67" s="15">
        <v>1</v>
      </c>
      <c r="JC67" s="15">
        <v>1</v>
      </c>
      <c r="JD67" s="15">
        <v>0</v>
      </c>
      <c r="JE67" s="15">
        <v>0</v>
      </c>
      <c r="JF67" s="15">
        <v>0</v>
      </c>
      <c r="JG67" s="15">
        <v>0</v>
      </c>
      <c r="JH67" s="15">
        <v>0</v>
      </c>
      <c r="JI67" s="15">
        <v>0</v>
      </c>
      <c r="JJ67" s="15">
        <v>1</v>
      </c>
      <c r="JK67" s="15">
        <v>0</v>
      </c>
      <c r="JL67" s="15">
        <v>0</v>
      </c>
      <c r="JM67" s="15">
        <v>0</v>
      </c>
      <c r="JN67" s="15">
        <v>0</v>
      </c>
      <c r="JO67" s="15">
        <v>0</v>
      </c>
      <c r="JP67" s="15">
        <v>0</v>
      </c>
      <c r="JQ67" s="15">
        <v>1</v>
      </c>
      <c r="JR67" s="15">
        <v>0</v>
      </c>
      <c r="JS67" s="15">
        <v>0</v>
      </c>
      <c r="JT67" s="15">
        <v>1</v>
      </c>
      <c r="JU67" s="15">
        <v>0</v>
      </c>
      <c r="JV67" s="15">
        <v>1</v>
      </c>
      <c r="JW67" s="15">
        <v>1</v>
      </c>
      <c r="JX67" s="15">
        <v>0</v>
      </c>
      <c r="JY67" s="15">
        <v>0</v>
      </c>
      <c r="JZ67" s="15">
        <v>0</v>
      </c>
      <c r="KA67" s="15">
        <v>0</v>
      </c>
      <c r="KB67" s="15">
        <v>1</v>
      </c>
      <c r="KC67" s="15">
        <v>1</v>
      </c>
      <c r="KD67" s="15">
        <v>0</v>
      </c>
      <c r="KE67" s="15">
        <v>0</v>
      </c>
      <c r="KF67" s="15">
        <v>1</v>
      </c>
      <c r="KI67">
        <v>1</v>
      </c>
      <c r="KJ67">
        <v>1</v>
      </c>
      <c r="KK67">
        <v>1</v>
      </c>
      <c r="KL67">
        <v>0</v>
      </c>
      <c r="KM67">
        <v>1</v>
      </c>
      <c r="KN67">
        <v>1</v>
      </c>
      <c r="KO67">
        <v>1</v>
      </c>
      <c r="KP67">
        <v>0</v>
      </c>
      <c r="KQ67">
        <v>0</v>
      </c>
      <c r="KR67">
        <v>1</v>
      </c>
      <c r="KS67">
        <v>0</v>
      </c>
      <c r="KT67">
        <v>1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1</v>
      </c>
      <c r="LA67">
        <v>0</v>
      </c>
      <c r="LB67">
        <v>0</v>
      </c>
      <c r="LC67">
        <v>1</v>
      </c>
      <c r="LD67">
        <v>0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1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1</v>
      </c>
      <c r="LZ67">
        <v>0</v>
      </c>
      <c r="MA67">
        <v>0</v>
      </c>
      <c r="MB67">
        <v>1</v>
      </c>
      <c r="MC67">
        <v>0</v>
      </c>
      <c r="MD67">
        <v>1</v>
      </c>
      <c r="ME67">
        <v>1</v>
      </c>
      <c r="MF67">
        <v>0</v>
      </c>
      <c r="MG67">
        <v>0</v>
      </c>
      <c r="MH67">
        <v>0</v>
      </c>
      <c r="MI67">
        <v>0</v>
      </c>
      <c r="MJ67">
        <v>1</v>
      </c>
      <c r="MK67">
        <v>1</v>
      </c>
      <c r="ML67">
        <v>0</v>
      </c>
      <c r="MM67">
        <v>0</v>
      </c>
      <c r="MN67">
        <v>1</v>
      </c>
      <c r="MO67">
        <v>0</v>
      </c>
      <c r="MP67">
        <v>0</v>
      </c>
      <c r="MQ67">
        <f t="shared" ref="MQ67:MQ94" si="37">MH67+MA67+LZ67</f>
        <v>0</v>
      </c>
      <c r="MR67">
        <f t="shared" ref="MR67:MR94" si="38">MH67+MC67+MA67+LZ67</f>
        <v>0</v>
      </c>
    </row>
    <row r="68" spans="1:358" s="39" customFormat="1" ht="18" x14ac:dyDescent="0.25">
      <c r="A68" t="s">
        <v>460</v>
      </c>
      <c r="B68" s="40">
        <v>69</v>
      </c>
      <c r="C68" s="40">
        <v>1</v>
      </c>
      <c r="D68" s="40">
        <v>1</v>
      </c>
      <c r="E68" s="41">
        <v>43211</v>
      </c>
      <c r="F68" s="61">
        <v>0</v>
      </c>
      <c r="G68" s="61"/>
      <c r="H68" s="57">
        <v>1</v>
      </c>
      <c r="I68" s="57">
        <v>1</v>
      </c>
      <c r="J68" s="57">
        <v>0</v>
      </c>
      <c r="K68" s="42">
        <v>43211</v>
      </c>
      <c r="L68" s="65">
        <v>1</v>
      </c>
      <c r="M68" s="42">
        <v>43321</v>
      </c>
      <c r="N68" s="40">
        <v>0</v>
      </c>
      <c r="O68" s="42">
        <v>45048</v>
      </c>
      <c r="P68" s="64">
        <f t="shared" si="32"/>
        <v>1837</v>
      </c>
      <c r="Q68" s="39">
        <v>1</v>
      </c>
      <c r="R68" s="39">
        <v>0</v>
      </c>
      <c r="S68" s="39">
        <v>0</v>
      </c>
      <c r="T68" s="39">
        <v>93</v>
      </c>
      <c r="U68" s="39">
        <v>1</v>
      </c>
      <c r="V68" s="39">
        <v>1</v>
      </c>
      <c r="W68" s="39">
        <v>0</v>
      </c>
      <c r="X68" s="39">
        <v>0</v>
      </c>
      <c r="Y68" s="39">
        <v>1</v>
      </c>
      <c r="Z68" s="39">
        <v>0</v>
      </c>
      <c r="AA68" s="39">
        <v>0</v>
      </c>
      <c r="AB68" s="39">
        <v>0</v>
      </c>
      <c r="AC68" s="39">
        <v>0</v>
      </c>
      <c r="AD68" s="39">
        <v>0</v>
      </c>
      <c r="AE68" s="39">
        <v>0</v>
      </c>
      <c r="AF68" s="39">
        <v>0</v>
      </c>
      <c r="AG68" s="39">
        <v>0</v>
      </c>
      <c r="AH68" s="39">
        <v>0</v>
      </c>
      <c r="AI68" s="39">
        <v>0</v>
      </c>
      <c r="AJ68" s="39">
        <v>0</v>
      </c>
      <c r="AK68" s="39">
        <v>0</v>
      </c>
      <c r="AL68" s="39">
        <v>0</v>
      </c>
      <c r="AM68" s="39">
        <v>0</v>
      </c>
      <c r="AN68" s="39">
        <v>75</v>
      </c>
      <c r="AO68" s="39">
        <v>150</v>
      </c>
      <c r="AP68" s="39">
        <v>33.299999999999997</v>
      </c>
      <c r="AQ68" s="39">
        <v>37.799999999999997</v>
      </c>
      <c r="AR68" s="39">
        <v>140</v>
      </c>
      <c r="AS68" s="39">
        <v>65</v>
      </c>
      <c r="AT68" s="39">
        <v>2</v>
      </c>
      <c r="AU68">
        <v>0</v>
      </c>
      <c r="AV68" s="39">
        <v>72</v>
      </c>
      <c r="AW68" s="43">
        <v>43211</v>
      </c>
      <c r="AX68" s="43">
        <v>43211</v>
      </c>
      <c r="AY68" s="39">
        <v>0</v>
      </c>
      <c r="AZ68" s="43">
        <v>43210</v>
      </c>
      <c r="BA68" s="39">
        <v>1</v>
      </c>
      <c r="BB68" s="39">
        <v>0</v>
      </c>
      <c r="BC68" s="39">
        <v>0</v>
      </c>
      <c r="BD68" s="39">
        <v>1</v>
      </c>
      <c r="BE68" s="39">
        <v>0</v>
      </c>
      <c r="BF68" s="39">
        <v>1</v>
      </c>
      <c r="BG68" s="39">
        <v>1</v>
      </c>
      <c r="BH68" s="39">
        <v>1</v>
      </c>
      <c r="BI68" s="39">
        <v>1</v>
      </c>
      <c r="BJ68">
        <v>0</v>
      </c>
      <c r="BK68">
        <v>0</v>
      </c>
      <c r="BL68">
        <v>0</v>
      </c>
      <c r="BM68" s="66">
        <v>0</v>
      </c>
      <c r="BN68">
        <v>0</v>
      </c>
      <c r="BO68">
        <v>0</v>
      </c>
      <c r="BP68" s="66">
        <f t="shared" si="30"/>
        <v>0</v>
      </c>
      <c r="BQ68">
        <v>0</v>
      </c>
      <c r="BR68">
        <v>0</v>
      </c>
      <c r="BS68">
        <v>0</v>
      </c>
      <c r="BT68">
        <v>0</v>
      </c>
      <c r="BU68" s="66">
        <f t="shared" si="31"/>
        <v>0</v>
      </c>
      <c r="BV68">
        <v>0</v>
      </c>
      <c r="BW68">
        <v>0</v>
      </c>
      <c r="BX68" s="66">
        <f t="shared" si="33"/>
        <v>0</v>
      </c>
      <c r="BY68">
        <v>0</v>
      </c>
      <c r="BZ68">
        <f t="shared" si="34"/>
        <v>0</v>
      </c>
      <c r="CA68" s="39">
        <v>1</v>
      </c>
      <c r="CB68" s="39">
        <v>0</v>
      </c>
      <c r="CD68" s="39">
        <v>0</v>
      </c>
      <c r="CE68" s="39">
        <v>0</v>
      </c>
      <c r="CF68" s="39">
        <v>0</v>
      </c>
      <c r="CG68" s="39">
        <v>0</v>
      </c>
      <c r="CH68" s="39">
        <v>0</v>
      </c>
      <c r="CI68" s="39">
        <v>0</v>
      </c>
      <c r="CJ68" s="39">
        <v>0</v>
      </c>
      <c r="CK68" s="39">
        <v>0</v>
      </c>
      <c r="CL68" s="39">
        <v>0</v>
      </c>
      <c r="CM68" s="39">
        <v>0</v>
      </c>
      <c r="CN68" s="39">
        <v>0</v>
      </c>
      <c r="CO68">
        <f t="shared" ref="CO68:CO96" si="39">CN68+CM68+CL68+CK68+CJ68+CI68+CH68+CG68+CF68+CE68</f>
        <v>0</v>
      </c>
      <c r="CP68" s="39">
        <v>0</v>
      </c>
      <c r="CQ68" s="39">
        <v>0</v>
      </c>
      <c r="CR68" s="39">
        <v>0</v>
      </c>
      <c r="CS68" s="39">
        <v>0</v>
      </c>
      <c r="CT68" s="39">
        <v>0</v>
      </c>
      <c r="CU68" s="39">
        <v>0</v>
      </c>
      <c r="CV68" s="39">
        <v>0</v>
      </c>
      <c r="CW68" s="31"/>
      <c r="DA68" s="43">
        <v>43211</v>
      </c>
      <c r="DB68" s="66">
        <f t="shared" si="35"/>
        <v>1</v>
      </c>
      <c r="DC68" s="39" t="s">
        <v>3</v>
      </c>
      <c r="DD68" s="39">
        <v>1</v>
      </c>
      <c r="DE68" s="43">
        <v>43214</v>
      </c>
      <c r="DF68" s="39">
        <v>4</v>
      </c>
      <c r="DH68" s="39">
        <v>14.5</v>
      </c>
      <c r="DK68" s="80">
        <v>179</v>
      </c>
      <c r="DW68" s="43">
        <v>43211</v>
      </c>
      <c r="DX68" s="39">
        <v>11</v>
      </c>
      <c r="DY68" s="39">
        <v>8.8000000000000007</v>
      </c>
      <c r="DZ68">
        <v>0</v>
      </c>
      <c r="EA68" s="39">
        <v>11</v>
      </c>
      <c r="EB68">
        <v>0</v>
      </c>
      <c r="EC68" s="39">
        <v>5</v>
      </c>
      <c r="ED68" s="39">
        <v>3.3</v>
      </c>
      <c r="EE68">
        <v>1</v>
      </c>
      <c r="EF68" s="39">
        <v>5</v>
      </c>
      <c r="EG68">
        <v>1</v>
      </c>
      <c r="EI68" s="62"/>
      <c r="EL68">
        <f t="shared" si="36"/>
        <v>0</v>
      </c>
      <c r="EO68" s="39">
        <v>0.53</v>
      </c>
      <c r="FC68" s="39">
        <v>1</v>
      </c>
      <c r="FD68" s="39">
        <v>0</v>
      </c>
      <c r="FF68" s="39">
        <v>1</v>
      </c>
      <c r="FG68">
        <v>0</v>
      </c>
      <c r="FK68" s="39">
        <v>0</v>
      </c>
      <c r="FL68">
        <v>0</v>
      </c>
      <c r="FM68"/>
      <c r="FN68"/>
      <c r="FO68">
        <v>0</v>
      </c>
      <c r="FQ68" s="44">
        <v>43211</v>
      </c>
      <c r="FR68" s="44" t="s">
        <v>230</v>
      </c>
      <c r="FS68" s="45">
        <v>1</v>
      </c>
      <c r="FT68" s="45">
        <v>0</v>
      </c>
      <c r="FU68" s="45">
        <v>1</v>
      </c>
      <c r="FV68" s="45">
        <v>0</v>
      </c>
      <c r="FW68" s="45">
        <v>1</v>
      </c>
      <c r="FX68" s="45">
        <v>1</v>
      </c>
      <c r="FY68" s="45">
        <v>1</v>
      </c>
      <c r="FZ68" s="45">
        <v>1</v>
      </c>
      <c r="GA68" s="45">
        <v>1</v>
      </c>
      <c r="GB68" s="45">
        <v>1</v>
      </c>
      <c r="GC68" s="45">
        <v>1</v>
      </c>
      <c r="GD68" s="45">
        <v>1</v>
      </c>
      <c r="GE68" s="45">
        <v>1</v>
      </c>
      <c r="GF68" s="45">
        <v>0</v>
      </c>
      <c r="GG68" s="45">
        <v>0</v>
      </c>
      <c r="GH68" s="45">
        <v>0</v>
      </c>
      <c r="GI68" s="45">
        <v>0</v>
      </c>
      <c r="GJ68" s="45">
        <v>0</v>
      </c>
      <c r="GK68" s="45">
        <v>1</v>
      </c>
      <c r="GL68" s="45">
        <v>0</v>
      </c>
      <c r="GM68" s="45">
        <v>0</v>
      </c>
      <c r="GN68" s="45">
        <v>1</v>
      </c>
      <c r="GO68" s="45">
        <v>1</v>
      </c>
      <c r="GP68" s="45">
        <v>0</v>
      </c>
      <c r="GQ68" s="45">
        <v>1</v>
      </c>
      <c r="GR68" s="45">
        <v>0</v>
      </c>
      <c r="GS68" s="45">
        <v>0</v>
      </c>
      <c r="GT68" s="45">
        <v>1</v>
      </c>
      <c r="GU68" s="45">
        <v>1</v>
      </c>
      <c r="GV68" s="45">
        <v>0</v>
      </c>
      <c r="GW68" s="45">
        <v>0</v>
      </c>
      <c r="GX68" s="45">
        <v>0</v>
      </c>
      <c r="GY68" s="15">
        <v>0</v>
      </c>
      <c r="GZ68" s="15">
        <v>0</v>
      </c>
      <c r="HA68" s="45">
        <v>0</v>
      </c>
      <c r="HB68" s="45">
        <v>1</v>
      </c>
      <c r="HC68" s="45">
        <v>1</v>
      </c>
      <c r="HD68" s="45" t="s">
        <v>233</v>
      </c>
      <c r="HE68" s="45">
        <v>1</v>
      </c>
      <c r="HF68" s="45">
        <v>0</v>
      </c>
      <c r="HG68" s="45">
        <v>0</v>
      </c>
      <c r="HH68" s="45">
        <v>0</v>
      </c>
      <c r="HI68" s="45">
        <v>1</v>
      </c>
      <c r="HJ68" s="45">
        <v>1</v>
      </c>
      <c r="HK68" s="45">
        <v>0</v>
      </c>
      <c r="HL68" s="45">
        <v>1</v>
      </c>
      <c r="HM68" s="46">
        <v>0</v>
      </c>
      <c r="HN68" s="45">
        <v>1</v>
      </c>
      <c r="HO68" s="45">
        <v>1</v>
      </c>
      <c r="HP68" s="45">
        <v>0</v>
      </c>
      <c r="HQ68" s="45">
        <v>0</v>
      </c>
      <c r="HR68" s="45">
        <v>0</v>
      </c>
      <c r="HS68" s="45">
        <v>0</v>
      </c>
      <c r="HT68" s="45">
        <v>1</v>
      </c>
      <c r="HU68" s="45">
        <v>1</v>
      </c>
      <c r="HV68" s="45">
        <v>0</v>
      </c>
      <c r="HW68" s="45">
        <v>0</v>
      </c>
      <c r="HX68" s="45">
        <v>0</v>
      </c>
      <c r="HY68" s="44"/>
      <c r="HZ68" s="44"/>
      <c r="IA68" s="44"/>
      <c r="IB68" s="44"/>
      <c r="IC68" s="44"/>
      <c r="ID68" s="44"/>
      <c r="IE68" s="44"/>
      <c r="IF68" s="44"/>
      <c r="IG68" s="44"/>
      <c r="IH68" s="44"/>
      <c r="II68" s="44"/>
      <c r="IJ68" s="44"/>
      <c r="IK68" s="44"/>
      <c r="IL68" s="44"/>
      <c r="IM68" s="44"/>
      <c r="IN68" s="44"/>
      <c r="IO68" s="44"/>
      <c r="IP68" s="44"/>
      <c r="IQ68" s="44"/>
      <c r="IR68" s="44"/>
      <c r="IS68" s="44"/>
      <c r="IT68" s="44"/>
      <c r="IU68" s="44"/>
      <c r="IV68" s="44"/>
      <c r="IW68" s="44"/>
      <c r="IX68" s="44"/>
      <c r="IY68" s="44"/>
      <c r="IZ68" s="44"/>
      <c r="JA68" s="44"/>
      <c r="JB68" s="44"/>
      <c r="JC68" s="44"/>
      <c r="JD68" s="44"/>
      <c r="JE68" s="44"/>
      <c r="JF68" s="44"/>
      <c r="JG68" s="44"/>
      <c r="JH68" s="44"/>
      <c r="JI68" s="44"/>
      <c r="JJ68" s="44"/>
      <c r="JK68" s="44"/>
      <c r="JL68" s="44"/>
      <c r="JM68" s="44"/>
      <c r="JN68" s="44"/>
      <c r="JO68" s="44"/>
      <c r="JP68" s="44"/>
      <c r="JQ68" s="44"/>
      <c r="JR68" s="44"/>
      <c r="JS68" s="44"/>
      <c r="JT68" s="44"/>
      <c r="JU68" s="44"/>
      <c r="JV68" s="44"/>
      <c r="JW68" s="44"/>
      <c r="JX68" s="44"/>
      <c r="JY68" s="44"/>
      <c r="JZ68" s="44"/>
      <c r="KA68" s="44"/>
      <c r="KB68" s="44"/>
      <c r="KC68" s="44"/>
      <c r="KD68" s="44"/>
      <c r="KE68" s="44"/>
      <c r="KF68" s="44"/>
      <c r="KG68"/>
      <c r="KH68"/>
      <c r="KI68">
        <v>1</v>
      </c>
      <c r="KJ68">
        <v>0</v>
      </c>
      <c r="KK68">
        <v>1</v>
      </c>
      <c r="KL68">
        <v>0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1</v>
      </c>
      <c r="LB68">
        <v>0</v>
      </c>
      <c r="LC68">
        <v>0</v>
      </c>
      <c r="LD68">
        <v>1</v>
      </c>
      <c r="LE68">
        <v>1</v>
      </c>
      <c r="LF68">
        <v>0</v>
      </c>
      <c r="LG68">
        <v>1</v>
      </c>
      <c r="LH68">
        <v>0</v>
      </c>
      <c r="LI68">
        <v>0</v>
      </c>
      <c r="LJ68">
        <v>1</v>
      </c>
      <c r="LK68">
        <v>1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1</v>
      </c>
      <c r="LS68">
        <v>1</v>
      </c>
      <c r="LT68"/>
      <c r="LU68">
        <v>1</v>
      </c>
      <c r="LV68">
        <v>0</v>
      </c>
      <c r="LW68">
        <v>0</v>
      </c>
      <c r="LX68">
        <v>0</v>
      </c>
      <c r="LY68">
        <v>1</v>
      </c>
      <c r="LZ68">
        <v>1</v>
      </c>
      <c r="MA68">
        <v>0</v>
      </c>
      <c r="MB68">
        <v>1</v>
      </c>
      <c r="MC68">
        <v>0</v>
      </c>
      <c r="MD68">
        <v>1</v>
      </c>
      <c r="ME68">
        <v>1</v>
      </c>
      <c r="MF68">
        <v>0</v>
      </c>
      <c r="MG68">
        <v>0</v>
      </c>
      <c r="MH68">
        <v>0</v>
      </c>
      <c r="MI68">
        <v>0</v>
      </c>
      <c r="MJ68">
        <v>1</v>
      </c>
      <c r="MK68">
        <v>1</v>
      </c>
      <c r="ML68">
        <v>0</v>
      </c>
      <c r="MM68">
        <v>0</v>
      </c>
      <c r="MN68">
        <v>0</v>
      </c>
      <c r="MO68">
        <v>1</v>
      </c>
      <c r="MP68">
        <v>0</v>
      </c>
      <c r="MQ68">
        <v>1</v>
      </c>
      <c r="MR68">
        <v>1</v>
      </c>
    </row>
    <row r="69" spans="1:358" s="39" customFormat="1" ht="18" x14ac:dyDescent="0.25">
      <c r="A69" t="s">
        <v>461</v>
      </c>
      <c r="B69" s="40">
        <v>47</v>
      </c>
      <c r="C69" s="40">
        <v>1</v>
      </c>
      <c r="D69" s="40">
        <v>1</v>
      </c>
      <c r="E69" s="41">
        <v>42985</v>
      </c>
      <c r="F69" s="61">
        <v>4</v>
      </c>
      <c r="G69" s="61"/>
      <c r="H69" s="58">
        <v>1</v>
      </c>
      <c r="I69" s="57">
        <v>1</v>
      </c>
      <c r="J69" s="58">
        <v>1</v>
      </c>
      <c r="K69" s="42">
        <v>42985</v>
      </c>
      <c r="L69" s="65">
        <v>1</v>
      </c>
      <c r="M69" s="42">
        <v>43027</v>
      </c>
      <c r="N69" s="40">
        <v>0</v>
      </c>
      <c r="O69" s="42">
        <v>44229</v>
      </c>
      <c r="P69" s="64">
        <f t="shared" si="32"/>
        <v>1248</v>
      </c>
      <c r="Q69" s="39">
        <v>1</v>
      </c>
      <c r="R69" s="39">
        <v>1</v>
      </c>
      <c r="S69" s="39">
        <v>0</v>
      </c>
      <c r="T69" s="39">
        <v>91</v>
      </c>
      <c r="U69" s="39">
        <v>1</v>
      </c>
      <c r="V69" s="39">
        <v>1</v>
      </c>
      <c r="W69" s="39">
        <v>0</v>
      </c>
      <c r="X69" s="39">
        <v>0</v>
      </c>
      <c r="Y69" s="39">
        <v>1</v>
      </c>
      <c r="Z69" s="39">
        <v>0</v>
      </c>
      <c r="AA69" s="39">
        <v>0</v>
      </c>
      <c r="AB69" s="39">
        <v>0</v>
      </c>
      <c r="AC69" s="39">
        <v>0</v>
      </c>
      <c r="AD69" s="39">
        <v>0</v>
      </c>
      <c r="AE69" s="39">
        <v>0</v>
      </c>
      <c r="AF69" s="39">
        <v>0</v>
      </c>
      <c r="AG69" s="39">
        <v>0</v>
      </c>
      <c r="AH69" s="39">
        <v>0</v>
      </c>
      <c r="AI69" s="39">
        <v>0</v>
      </c>
      <c r="AJ69" s="39">
        <v>0</v>
      </c>
      <c r="AK69" s="39">
        <v>0</v>
      </c>
      <c r="AL69" s="39">
        <v>0</v>
      </c>
      <c r="AM69" s="39">
        <v>0</v>
      </c>
      <c r="AN69" s="39">
        <v>95</v>
      </c>
      <c r="AO69" s="39">
        <v>165</v>
      </c>
      <c r="AP69" s="39">
        <v>34.9</v>
      </c>
      <c r="AQ69" s="39">
        <v>37.200000000000003</v>
      </c>
      <c r="AR69" s="39">
        <v>147</v>
      </c>
      <c r="AS69" s="39">
        <v>80</v>
      </c>
      <c r="AT69" s="39">
        <v>2</v>
      </c>
      <c r="AU69">
        <v>0</v>
      </c>
      <c r="AV69" s="39">
        <v>99</v>
      </c>
      <c r="AW69" s="43">
        <v>42981</v>
      </c>
      <c r="AX69" s="43">
        <v>42981</v>
      </c>
      <c r="AY69" s="39">
        <v>1</v>
      </c>
      <c r="AZ69" s="43">
        <v>42981</v>
      </c>
      <c r="BA69" s="39">
        <v>1</v>
      </c>
      <c r="BB69" s="39">
        <v>0</v>
      </c>
      <c r="BC69" s="39">
        <v>0</v>
      </c>
      <c r="BD69" s="39">
        <v>0</v>
      </c>
      <c r="BE69" s="39">
        <v>0</v>
      </c>
      <c r="BF69" s="39">
        <v>0</v>
      </c>
      <c r="BG69" s="39">
        <v>0</v>
      </c>
      <c r="BH69" s="39">
        <v>0</v>
      </c>
      <c r="BI69" s="39">
        <v>0</v>
      </c>
      <c r="BJ69" s="78">
        <v>0</v>
      </c>
      <c r="BK69" s="78">
        <v>0</v>
      </c>
      <c r="BL69" s="78">
        <v>0</v>
      </c>
      <c r="BM69" s="66">
        <v>0</v>
      </c>
      <c r="BN69" s="78">
        <v>3</v>
      </c>
      <c r="BO69" s="78">
        <v>1</v>
      </c>
      <c r="BP69" s="78">
        <v>3</v>
      </c>
      <c r="BQ69" s="78">
        <v>1</v>
      </c>
      <c r="BR69" s="78">
        <v>0</v>
      </c>
      <c r="BS69" s="78">
        <v>0</v>
      </c>
      <c r="BT69" s="78">
        <v>0</v>
      </c>
      <c r="BU69" s="78">
        <v>0</v>
      </c>
      <c r="BV69" s="78">
        <v>3</v>
      </c>
      <c r="BW69" s="78">
        <v>1</v>
      </c>
      <c r="BX69" s="66">
        <f t="shared" si="33"/>
        <v>4</v>
      </c>
      <c r="BY69" s="78">
        <v>1</v>
      </c>
      <c r="BZ69">
        <v>1</v>
      </c>
      <c r="CA69" s="39">
        <v>1</v>
      </c>
      <c r="CB69" s="39">
        <v>1</v>
      </c>
      <c r="CD69" s="39">
        <v>0</v>
      </c>
      <c r="CE69" s="39">
        <v>0</v>
      </c>
      <c r="CF69" s="39">
        <v>0</v>
      </c>
      <c r="CG69" s="39">
        <v>0</v>
      </c>
      <c r="CH69" s="39">
        <v>0</v>
      </c>
      <c r="CI69" s="39">
        <v>0</v>
      </c>
      <c r="CJ69" s="39">
        <v>0</v>
      </c>
      <c r="CK69" s="39">
        <v>0</v>
      </c>
      <c r="CL69" s="39">
        <v>0</v>
      </c>
      <c r="CM69" s="39">
        <v>0</v>
      </c>
      <c r="CN69" s="39">
        <v>0</v>
      </c>
      <c r="CO69">
        <f t="shared" si="39"/>
        <v>0</v>
      </c>
      <c r="CP69" s="39">
        <v>0</v>
      </c>
      <c r="CQ69" s="39">
        <v>0</v>
      </c>
      <c r="CR69" s="39">
        <v>0</v>
      </c>
      <c r="CS69" s="39">
        <v>0</v>
      </c>
      <c r="CT69" s="39">
        <v>0</v>
      </c>
      <c r="CU69" s="39">
        <v>0</v>
      </c>
      <c r="CV69" s="39">
        <v>0</v>
      </c>
      <c r="CW69" s="31"/>
      <c r="CY69">
        <v>0</v>
      </c>
      <c r="DA69" s="43">
        <v>42983</v>
      </c>
      <c r="DB69" s="66">
        <f t="shared" si="35"/>
        <v>2</v>
      </c>
      <c r="DC69" s="39" t="s">
        <v>3</v>
      </c>
      <c r="DD69" s="39">
        <v>1</v>
      </c>
      <c r="DE69" s="43">
        <v>42984</v>
      </c>
      <c r="DF69" s="39">
        <v>2</v>
      </c>
      <c r="DG69" s="43">
        <v>42986</v>
      </c>
      <c r="DH69" s="39">
        <v>8</v>
      </c>
      <c r="DI69" s="39">
        <v>8.5</v>
      </c>
      <c r="DJ69" s="39">
        <v>0.9</v>
      </c>
      <c r="DK69" s="80">
        <v>410</v>
      </c>
      <c r="DM69" s="39">
        <v>96</v>
      </c>
      <c r="DO69" s="39">
        <v>8</v>
      </c>
      <c r="DP69" s="39">
        <v>410</v>
      </c>
      <c r="DR69" s="39">
        <v>46</v>
      </c>
      <c r="DS69" s="39">
        <v>1.5</v>
      </c>
      <c r="DU69" s="39">
        <v>25</v>
      </c>
      <c r="DW69" s="43">
        <v>42981</v>
      </c>
      <c r="DX69" s="39">
        <v>12.9</v>
      </c>
      <c r="DY69">
        <f>EA69</f>
        <v>16</v>
      </c>
      <c r="DZ69">
        <v>1</v>
      </c>
      <c r="EA69" s="39">
        <v>16</v>
      </c>
      <c r="EB69">
        <v>1</v>
      </c>
      <c r="EC69" s="39">
        <v>0.8</v>
      </c>
      <c r="ED69" s="39">
        <v>0.55000000000000004</v>
      </c>
      <c r="EE69">
        <v>0</v>
      </c>
      <c r="EF69" s="39">
        <v>2.8</v>
      </c>
      <c r="EG69">
        <v>1</v>
      </c>
      <c r="EH69" s="39">
        <v>169</v>
      </c>
      <c r="EI69" s="62">
        <v>1.3964497041420101</v>
      </c>
      <c r="EJ69" s="39">
        <v>236</v>
      </c>
      <c r="EK69" s="39">
        <v>1</v>
      </c>
      <c r="EL69">
        <f t="shared" si="36"/>
        <v>67</v>
      </c>
      <c r="EM69" s="39">
        <v>236</v>
      </c>
      <c r="EN69" s="39">
        <v>1</v>
      </c>
      <c r="EO69" s="39">
        <v>5.8</v>
      </c>
      <c r="ER69" s="39">
        <v>18</v>
      </c>
      <c r="ET69" s="39">
        <v>71</v>
      </c>
      <c r="EU69" s="39">
        <v>49</v>
      </c>
      <c r="EV69" s="39">
        <v>387</v>
      </c>
      <c r="EW69" s="39">
        <v>629</v>
      </c>
      <c r="EX69" s="39">
        <v>44</v>
      </c>
      <c r="EY69" s="39">
        <v>32</v>
      </c>
      <c r="FC69" s="39">
        <v>1</v>
      </c>
      <c r="FD69" s="39">
        <v>1</v>
      </c>
      <c r="FF69" s="39">
        <v>1</v>
      </c>
      <c r="FG69">
        <v>1</v>
      </c>
      <c r="FH69" s="43">
        <v>42999</v>
      </c>
      <c r="FI69" s="43"/>
      <c r="FJ69" s="43"/>
      <c r="FK69" s="39">
        <v>0</v>
      </c>
      <c r="FL69">
        <v>0</v>
      </c>
      <c r="FM69"/>
      <c r="FN69"/>
      <c r="FO69">
        <v>0</v>
      </c>
      <c r="FQ69" s="44">
        <v>42965</v>
      </c>
      <c r="FR69" s="45" t="s">
        <v>230</v>
      </c>
      <c r="FS69" s="45">
        <v>1</v>
      </c>
      <c r="FT69" s="45">
        <v>0</v>
      </c>
      <c r="FU69" s="45">
        <v>1</v>
      </c>
      <c r="FV69" s="45">
        <v>0</v>
      </c>
      <c r="FW69" s="45">
        <v>1</v>
      </c>
      <c r="FX69" s="45">
        <v>0</v>
      </c>
      <c r="FY69" s="45">
        <v>1</v>
      </c>
      <c r="FZ69" s="45">
        <v>0</v>
      </c>
      <c r="GA69" s="45">
        <v>0</v>
      </c>
      <c r="GB69" s="45">
        <v>1</v>
      </c>
      <c r="GC69" s="45">
        <v>1</v>
      </c>
      <c r="GD69" s="45">
        <v>1</v>
      </c>
      <c r="GE69" s="45">
        <v>1</v>
      </c>
      <c r="GF69" s="45">
        <v>1</v>
      </c>
      <c r="GG69" s="45">
        <v>0</v>
      </c>
      <c r="GH69" s="45">
        <v>0</v>
      </c>
      <c r="GI69" s="45">
        <v>0</v>
      </c>
      <c r="GJ69" s="45">
        <v>1</v>
      </c>
      <c r="GK69" s="45">
        <v>0</v>
      </c>
      <c r="GL69" s="45">
        <v>0</v>
      </c>
      <c r="GM69" s="45">
        <v>1</v>
      </c>
      <c r="GN69" s="45">
        <v>0</v>
      </c>
      <c r="GO69" s="45">
        <v>0</v>
      </c>
      <c r="GP69" s="45">
        <v>0</v>
      </c>
      <c r="GQ69" s="45">
        <v>0</v>
      </c>
      <c r="GR69" s="45">
        <v>0</v>
      </c>
      <c r="GS69" s="45">
        <v>0</v>
      </c>
      <c r="GT69" s="45">
        <v>0</v>
      </c>
      <c r="GU69" s="45">
        <v>1</v>
      </c>
      <c r="GV69" s="45">
        <v>0</v>
      </c>
      <c r="GW69" s="45">
        <v>0</v>
      </c>
      <c r="GX69" s="45">
        <v>0</v>
      </c>
      <c r="GY69" s="15">
        <v>0</v>
      </c>
      <c r="GZ69" s="15">
        <v>0</v>
      </c>
      <c r="HA69" s="45">
        <v>0</v>
      </c>
      <c r="HB69" s="45">
        <v>1</v>
      </c>
      <c r="HC69" s="45">
        <v>0</v>
      </c>
      <c r="HD69" s="45">
        <v>0</v>
      </c>
      <c r="HE69" s="15">
        <v>0</v>
      </c>
      <c r="HF69" s="15">
        <v>0</v>
      </c>
      <c r="HG69" s="45">
        <v>0</v>
      </c>
      <c r="HH69" s="45">
        <v>1</v>
      </c>
      <c r="HI69" s="45">
        <v>1</v>
      </c>
      <c r="HJ69" s="45">
        <v>1</v>
      </c>
      <c r="HK69" s="45">
        <v>0</v>
      </c>
      <c r="HL69" s="45">
        <v>1</v>
      </c>
      <c r="HM69" s="45">
        <v>0</v>
      </c>
      <c r="HN69" s="45">
        <v>1</v>
      </c>
      <c r="HO69" s="45">
        <v>1</v>
      </c>
      <c r="HP69" s="45">
        <v>0</v>
      </c>
      <c r="HQ69" s="45">
        <v>0</v>
      </c>
      <c r="HR69" s="45">
        <v>0</v>
      </c>
      <c r="HS69" s="45">
        <v>0</v>
      </c>
      <c r="HT69" s="45">
        <v>1</v>
      </c>
      <c r="HU69" s="45">
        <v>1</v>
      </c>
      <c r="HV69" s="45">
        <v>0</v>
      </c>
      <c r="HW69" s="45">
        <v>1</v>
      </c>
      <c r="HX69" s="45">
        <v>0</v>
      </c>
      <c r="HY69" s="44">
        <v>42984</v>
      </c>
      <c r="HZ69" s="45" t="s">
        <v>231</v>
      </c>
      <c r="IA69" s="45">
        <v>1</v>
      </c>
      <c r="IB69" s="45">
        <v>1</v>
      </c>
      <c r="IC69" s="45">
        <v>1</v>
      </c>
      <c r="ID69" s="45">
        <v>0</v>
      </c>
      <c r="IE69" s="45">
        <v>1</v>
      </c>
      <c r="IF69" s="45">
        <v>0</v>
      </c>
      <c r="IG69" s="45">
        <v>1</v>
      </c>
      <c r="IH69" s="45">
        <v>0</v>
      </c>
      <c r="II69" s="45">
        <v>0</v>
      </c>
      <c r="IJ69" s="45">
        <v>0</v>
      </c>
      <c r="IK69" s="45">
        <v>1</v>
      </c>
      <c r="IL69" s="45">
        <v>1</v>
      </c>
      <c r="IM69" s="45">
        <v>1</v>
      </c>
      <c r="IN69" s="45">
        <v>1</v>
      </c>
      <c r="IO69" s="45">
        <v>0</v>
      </c>
      <c r="IP69" s="45">
        <v>0</v>
      </c>
      <c r="IQ69" s="45">
        <v>0</v>
      </c>
      <c r="IR69" s="45">
        <v>1</v>
      </c>
      <c r="IS69" s="45">
        <v>0</v>
      </c>
      <c r="IT69" s="45">
        <v>0</v>
      </c>
      <c r="IU69" s="45">
        <v>1</v>
      </c>
      <c r="IV69" s="45">
        <v>0</v>
      </c>
      <c r="IW69" s="45">
        <v>0</v>
      </c>
      <c r="IX69" s="45">
        <v>0</v>
      </c>
      <c r="IY69" s="45">
        <v>0</v>
      </c>
      <c r="IZ69" s="45">
        <v>0</v>
      </c>
      <c r="JA69" s="45">
        <v>0</v>
      </c>
      <c r="JB69" s="45">
        <v>0</v>
      </c>
      <c r="JC69" s="45">
        <v>1</v>
      </c>
      <c r="JD69" s="45">
        <v>0</v>
      </c>
      <c r="JE69" s="45">
        <v>0</v>
      </c>
      <c r="JF69" s="45">
        <v>0</v>
      </c>
      <c r="JG69" s="15">
        <v>0</v>
      </c>
      <c r="JH69" s="15">
        <v>0</v>
      </c>
      <c r="JI69" s="45">
        <v>0</v>
      </c>
      <c r="JJ69" s="45">
        <v>1</v>
      </c>
      <c r="JK69" s="45">
        <v>0</v>
      </c>
      <c r="JL69" s="45">
        <v>0</v>
      </c>
      <c r="JM69" s="15">
        <v>0</v>
      </c>
      <c r="JN69" s="15">
        <v>0</v>
      </c>
      <c r="JO69" s="45">
        <v>0</v>
      </c>
      <c r="JP69" s="45">
        <v>1</v>
      </c>
      <c r="JQ69" s="45">
        <v>1</v>
      </c>
      <c r="JR69" s="45">
        <v>1</v>
      </c>
      <c r="JS69" s="45">
        <v>1</v>
      </c>
      <c r="JT69" s="45">
        <v>1</v>
      </c>
      <c r="JU69" s="45">
        <v>0</v>
      </c>
      <c r="JV69" s="45">
        <v>1</v>
      </c>
      <c r="JW69" s="45">
        <v>1</v>
      </c>
      <c r="JX69" s="45">
        <v>0</v>
      </c>
      <c r="JY69" s="45">
        <v>0</v>
      </c>
      <c r="JZ69" s="45">
        <v>1</v>
      </c>
      <c r="KA69" s="45">
        <v>1</v>
      </c>
      <c r="KB69" s="45">
        <v>1</v>
      </c>
      <c r="KC69" s="45">
        <v>1</v>
      </c>
      <c r="KD69" s="45">
        <v>1</v>
      </c>
      <c r="KE69" s="45">
        <v>1</v>
      </c>
      <c r="KF69" s="45">
        <v>0</v>
      </c>
      <c r="KG69"/>
      <c r="KH69"/>
      <c r="KI69">
        <v>1</v>
      </c>
      <c r="KJ69">
        <v>1</v>
      </c>
      <c r="KK69">
        <v>1</v>
      </c>
      <c r="KL69">
        <v>0</v>
      </c>
      <c r="KM69">
        <v>1</v>
      </c>
      <c r="KN69">
        <v>0</v>
      </c>
      <c r="KO69">
        <v>1</v>
      </c>
      <c r="KP69">
        <v>0</v>
      </c>
      <c r="KQ69">
        <v>0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0</v>
      </c>
      <c r="KX69">
        <v>0</v>
      </c>
      <c r="KY69">
        <v>0</v>
      </c>
      <c r="KZ69">
        <v>1</v>
      </c>
      <c r="LA69">
        <v>0</v>
      </c>
      <c r="LB69">
        <v>0</v>
      </c>
      <c r="LC69">
        <v>1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1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1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0</v>
      </c>
      <c r="MD69">
        <v>1</v>
      </c>
      <c r="ME69">
        <v>1</v>
      </c>
      <c r="MF69">
        <v>0</v>
      </c>
      <c r="MG69">
        <v>0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0</v>
      </c>
      <c r="MO69">
        <v>1</v>
      </c>
      <c r="MP69">
        <v>0</v>
      </c>
      <c r="MQ69">
        <v>1</v>
      </c>
      <c r="MR69">
        <v>1</v>
      </c>
      <c r="MS69">
        <v>1</v>
      </c>
      <c r="MT69">
        <v>1</v>
      </c>
    </row>
    <row r="70" spans="1:358" s="39" customFormat="1" ht="18" x14ac:dyDescent="0.25">
      <c r="A70" t="s">
        <v>462</v>
      </c>
      <c r="B70" s="48">
        <v>74</v>
      </c>
      <c r="C70" s="40">
        <v>1</v>
      </c>
      <c r="D70" s="40">
        <v>0</v>
      </c>
      <c r="E70" s="40"/>
      <c r="F70" s="55">
        <v>1405</v>
      </c>
      <c r="G70" s="55"/>
      <c r="H70" s="57">
        <v>0</v>
      </c>
      <c r="I70" s="57">
        <v>0</v>
      </c>
      <c r="J70" s="57"/>
      <c r="K70" s="40"/>
      <c r="L70" s="40"/>
      <c r="M70" s="40"/>
      <c r="N70" s="40">
        <v>0</v>
      </c>
      <c r="O70" s="42">
        <v>45083</v>
      </c>
      <c r="P70" s="64">
        <f t="shared" si="32"/>
        <v>1405</v>
      </c>
      <c r="Q70" s="39">
        <v>4</v>
      </c>
      <c r="R70" s="39">
        <v>1</v>
      </c>
      <c r="S70" s="39">
        <v>1</v>
      </c>
      <c r="T70" s="39">
        <v>75</v>
      </c>
      <c r="U70" s="39">
        <v>0</v>
      </c>
      <c r="V70" s="39">
        <v>1</v>
      </c>
      <c r="W70" s="39">
        <v>1</v>
      </c>
      <c r="X70" s="39">
        <v>1</v>
      </c>
      <c r="Y70" s="39">
        <v>1</v>
      </c>
      <c r="Z70" s="39">
        <v>0</v>
      </c>
      <c r="AA70" s="39">
        <v>0</v>
      </c>
      <c r="AB70" s="39">
        <v>0</v>
      </c>
      <c r="AC70" s="39">
        <v>0</v>
      </c>
      <c r="AD70" s="39">
        <v>0</v>
      </c>
      <c r="AE70" s="39">
        <v>0</v>
      </c>
      <c r="AF70" s="39">
        <v>0</v>
      </c>
      <c r="AG70" s="39">
        <v>0</v>
      </c>
      <c r="AH70" s="39">
        <v>0</v>
      </c>
      <c r="AI70" s="39">
        <v>0</v>
      </c>
      <c r="AJ70" s="39">
        <v>0</v>
      </c>
      <c r="AK70" s="39">
        <v>0</v>
      </c>
      <c r="AL70" s="39">
        <v>0</v>
      </c>
      <c r="AM70" s="39">
        <v>0</v>
      </c>
      <c r="AN70" s="39">
        <v>80</v>
      </c>
      <c r="AO70" s="39">
        <v>155</v>
      </c>
      <c r="AP70" s="39">
        <v>33.299999999999997</v>
      </c>
      <c r="AQ70" s="39">
        <v>38</v>
      </c>
      <c r="AR70" s="39">
        <v>70</v>
      </c>
      <c r="AS70" s="39">
        <v>40</v>
      </c>
      <c r="AT70" s="39">
        <v>1</v>
      </c>
      <c r="AU70">
        <v>0</v>
      </c>
      <c r="AV70" s="39">
        <v>73</v>
      </c>
      <c r="AW70" s="43">
        <v>43678</v>
      </c>
      <c r="AX70" s="43">
        <v>43678</v>
      </c>
      <c r="AY70" s="39">
        <v>0</v>
      </c>
      <c r="AZ70" s="43">
        <v>43678</v>
      </c>
      <c r="BA70" s="39">
        <v>1</v>
      </c>
      <c r="BB70" s="39">
        <v>0</v>
      </c>
      <c r="BC70" s="39">
        <v>0</v>
      </c>
      <c r="BD70" s="39">
        <v>0</v>
      </c>
      <c r="BE70" s="39">
        <v>0</v>
      </c>
      <c r="BF70" s="39">
        <v>0</v>
      </c>
      <c r="BG70" s="39">
        <v>0</v>
      </c>
      <c r="BH70" s="39">
        <v>0</v>
      </c>
      <c r="BI70" s="39">
        <v>0</v>
      </c>
      <c r="BJ70">
        <v>0</v>
      </c>
      <c r="BK70">
        <v>0</v>
      </c>
      <c r="BL70">
        <v>0</v>
      </c>
      <c r="BM70" s="66">
        <v>0</v>
      </c>
      <c r="BN70">
        <v>0</v>
      </c>
      <c r="BO70">
        <v>0</v>
      </c>
      <c r="BP70" s="66">
        <f t="shared" ref="BP70:BP73" si="40">BJ70+BK70+BL70+BM70+BN70+BO70</f>
        <v>0</v>
      </c>
      <c r="BQ70">
        <v>0</v>
      </c>
      <c r="BR70">
        <v>0</v>
      </c>
      <c r="BS70">
        <v>0</v>
      </c>
      <c r="BT70">
        <v>0</v>
      </c>
      <c r="BU70" s="66">
        <f t="shared" ref="BU70:BU73" si="41">BM70</f>
        <v>0</v>
      </c>
      <c r="BV70">
        <v>0</v>
      </c>
      <c r="BW70">
        <v>0</v>
      </c>
      <c r="BX70" s="66">
        <f t="shared" si="33"/>
        <v>0</v>
      </c>
      <c r="BY70">
        <v>0</v>
      </c>
      <c r="BZ70">
        <f t="shared" si="34"/>
        <v>0</v>
      </c>
      <c r="CA70" s="39">
        <v>1</v>
      </c>
      <c r="CB70" s="39">
        <v>0</v>
      </c>
      <c r="CC70" s="39">
        <v>2</v>
      </c>
      <c r="CD70" s="39">
        <v>0</v>
      </c>
      <c r="CE70" s="39">
        <v>0</v>
      </c>
      <c r="CF70" s="39">
        <v>0</v>
      </c>
      <c r="CG70" s="39">
        <v>0</v>
      </c>
      <c r="CH70" s="39">
        <v>1</v>
      </c>
      <c r="CI70" s="39">
        <v>0</v>
      </c>
      <c r="CJ70" s="39">
        <v>0</v>
      </c>
      <c r="CK70" s="39">
        <v>0</v>
      </c>
      <c r="CL70" s="39">
        <v>0</v>
      </c>
      <c r="CM70" s="39">
        <v>0</v>
      </c>
      <c r="CN70" s="39">
        <v>0</v>
      </c>
      <c r="CO70">
        <v>1</v>
      </c>
      <c r="CP70" s="39">
        <v>1</v>
      </c>
      <c r="CQ70" s="39">
        <v>0</v>
      </c>
      <c r="CR70" s="39">
        <v>0</v>
      </c>
      <c r="CS70" s="39">
        <v>0</v>
      </c>
      <c r="CT70" s="39">
        <v>0</v>
      </c>
      <c r="CU70" s="39">
        <v>0</v>
      </c>
      <c r="CV70" s="39">
        <v>0</v>
      </c>
      <c r="CW70" s="31"/>
      <c r="CX70" s="39">
        <v>1</v>
      </c>
      <c r="CY70">
        <v>0</v>
      </c>
      <c r="DA70" s="43">
        <v>43678</v>
      </c>
      <c r="DB70" s="66">
        <f t="shared" si="35"/>
        <v>0</v>
      </c>
      <c r="DC70" s="39" t="s">
        <v>1</v>
      </c>
      <c r="DD70" s="39">
        <v>0</v>
      </c>
      <c r="DE70" s="43">
        <v>43686</v>
      </c>
      <c r="DF70" s="39">
        <v>9</v>
      </c>
      <c r="DG70" s="43">
        <v>43678</v>
      </c>
      <c r="DH70" s="39">
        <v>9</v>
      </c>
      <c r="DI70" s="39">
        <v>10.199999999999999</v>
      </c>
      <c r="DJ70" s="39">
        <v>0.6</v>
      </c>
      <c r="DK70" s="80">
        <v>150</v>
      </c>
      <c r="DL70" s="39">
        <v>5</v>
      </c>
      <c r="DM70" s="39">
        <v>69</v>
      </c>
      <c r="DN70" s="39">
        <v>3668</v>
      </c>
      <c r="DO70" s="39">
        <v>2</v>
      </c>
      <c r="DP70" s="39">
        <v>150</v>
      </c>
      <c r="DQ70" s="39">
        <v>3668</v>
      </c>
      <c r="DR70" s="39">
        <v>70</v>
      </c>
      <c r="DS70" s="39">
        <v>7.1</v>
      </c>
      <c r="DU70" s="39">
        <v>18</v>
      </c>
      <c r="DW70" s="43">
        <v>43678</v>
      </c>
      <c r="DX70" s="39">
        <v>11.4</v>
      </c>
      <c r="DY70" s="39">
        <v>7</v>
      </c>
      <c r="DZ70">
        <v>0</v>
      </c>
      <c r="EA70" s="39">
        <v>11</v>
      </c>
      <c r="EB70">
        <v>0</v>
      </c>
      <c r="EC70" s="39">
        <v>1.1499999999999999</v>
      </c>
      <c r="ED70" s="39">
        <v>0.75</v>
      </c>
      <c r="EE70">
        <v>0</v>
      </c>
      <c r="EF70" s="39">
        <v>1.1499999999999999</v>
      </c>
      <c r="EG70">
        <v>0</v>
      </c>
      <c r="EH70" s="39">
        <v>226</v>
      </c>
      <c r="EI70" s="62">
        <v>0.33628318584070799</v>
      </c>
      <c r="EJ70" s="39">
        <v>76</v>
      </c>
      <c r="EK70">
        <v>0</v>
      </c>
      <c r="EL70">
        <f t="shared" si="36"/>
        <v>-150</v>
      </c>
      <c r="EM70" s="39">
        <v>226</v>
      </c>
      <c r="EN70" s="39">
        <v>1</v>
      </c>
      <c r="EO70" s="39">
        <v>7.68</v>
      </c>
      <c r="EP70" s="39">
        <v>8.77</v>
      </c>
      <c r="EQ70" s="39">
        <v>8.77</v>
      </c>
      <c r="ER70" s="39">
        <v>26</v>
      </c>
      <c r="ES70" s="39">
        <v>61</v>
      </c>
      <c r="ET70" s="39">
        <v>31</v>
      </c>
      <c r="EU70" s="39">
        <v>30</v>
      </c>
      <c r="EV70" s="39">
        <v>27</v>
      </c>
      <c r="EW70" s="39">
        <v>56</v>
      </c>
      <c r="EX70" s="39">
        <v>10</v>
      </c>
      <c r="EY70" s="39">
        <v>6</v>
      </c>
      <c r="FA70" s="39">
        <v>7.48</v>
      </c>
      <c r="FB70">
        <v>0</v>
      </c>
      <c r="FC70" s="39">
        <v>1</v>
      </c>
      <c r="FD70" s="39">
        <v>1</v>
      </c>
      <c r="FE70" s="39" t="e">
        <f>#REF!</f>
        <v>#REF!</v>
      </c>
      <c r="FF70" s="39">
        <v>1</v>
      </c>
      <c r="FG70">
        <v>1</v>
      </c>
      <c r="FH70" s="43">
        <v>43678</v>
      </c>
      <c r="FI70" s="43"/>
      <c r="FJ70" s="43"/>
      <c r="FK70">
        <v>0</v>
      </c>
      <c r="FL70">
        <v>0</v>
      </c>
      <c r="FM70"/>
      <c r="FN70"/>
      <c r="FO70">
        <v>0</v>
      </c>
      <c r="FQ70" s="44">
        <v>43678</v>
      </c>
      <c r="FR70" s="44" t="s">
        <v>230</v>
      </c>
      <c r="FS70" s="45">
        <v>1</v>
      </c>
      <c r="FT70" s="45">
        <v>0</v>
      </c>
      <c r="FU70" s="45">
        <v>1</v>
      </c>
      <c r="FV70" s="45">
        <v>0</v>
      </c>
      <c r="FW70" s="45">
        <v>1</v>
      </c>
      <c r="FX70" s="45">
        <v>0</v>
      </c>
      <c r="FY70" s="45">
        <v>0</v>
      </c>
      <c r="FZ70" s="45">
        <v>0</v>
      </c>
      <c r="GA70" s="45">
        <v>0</v>
      </c>
      <c r="GB70" s="45">
        <v>1</v>
      </c>
      <c r="GC70" s="45">
        <v>0</v>
      </c>
      <c r="GD70" s="45">
        <v>0</v>
      </c>
      <c r="GE70" s="45">
        <v>0</v>
      </c>
      <c r="GF70" s="45">
        <v>0</v>
      </c>
      <c r="GG70" s="45">
        <v>0</v>
      </c>
      <c r="GH70" s="45">
        <v>0</v>
      </c>
      <c r="GI70" s="45">
        <v>1</v>
      </c>
      <c r="GJ70" s="45">
        <v>0</v>
      </c>
      <c r="GK70" s="45">
        <v>0</v>
      </c>
      <c r="GL70" s="45">
        <v>1</v>
      </c>
      <c r="GM70" s="45">
        <v>0</v>
      </c>
      <c r="GN70" s="45">
        <v>0</v>
      </c>
      <c r="GO70" s="45">
        <v>0</v>
      </c>
      <c r="GP70" s="45">
        <v>0</v>
      </c>
      <c r="GQ70" s="45">
        <v>0</v>
      </c>
      <c r="GR70" s="45">
        <v>0</v>
      </c>
      <c r="GS70" s="45">
        <v>0</v>
      </c>
      <c r="GT70" s="45">
        <v>0</v>
      </c>
      <c r="GU70" s="45">
        <v>0</v>
      </c>
      <c r="GV70" s="45">
        <v>1</v>
      </c>
      <c r="GW70" s="45">
        <v>0</v>
      </c>
      <c r="GX70" s="45" t="s">
        <v>232</v>
      </c>
      <c r="GY70" s="15">
        <v>0</v>
      </c>
      <c r="GZ70" s="15">
        <v>0</v>
      </c>
      <c r="HA70" s="45">
        <v>0</v>
      </c>
      <c r="HB70" s="45">
        <v>0</v>
      </c>
      <c r="HC70" s="45">
        <v>1</v>
      </c>
      <c r="HD70" s="45" t="s">
        <v>234</v>
      </c>
      <c r="HE70" s="45">
        <v>1</v>
      </c>
      <c r="HF70" s="45">
        <v>1</v>
      </c>
      <c r="HG70" s="45">
        <v>0</v>
      </c>
      <c r="HH70" s="45">
        <v>0</v>
      </c>
      <c r="HI70" s="45">
        <v>0</v>
      </c>
      <c r="HJ70" s="45">
        <v>0</v>
      </c>
      <c r="HK70" s="45">
        <v>0</v>
      </c>
      <c r="HL70" s="45">
        <v>0</v>
      </c>
      <c r="HM70" s="45">
        <v>0</v>
      </c>
      <c r="HN70" s="45">
        <v>0</v>
      </c>
      <c r="HO70" s="45">
        <v>1</v>
      </c>
      <c r="HP70" s="45">
        <v>0</v>
      </c>
      <c r="HQ70" s="45">
        <v>0</v>
      </c>
      <c r="HR70" s="45">
        <v>0</v>
      </c>
      <c r="HS70" s="45">
        <v>0</v>
      </c>
      <c r="HT70" s="45">
        <v>0</v>
      </c>
      <c r="HU70" s="45">
        <v>0</v>
      </c>
      <c r="HV70" s="45">
        <v>0</v>
      </c>
      <c r="HW70" s="45">
        <v>0</v>
      </c>
      <c r="HX70" s="45">
        <v>0</v>
      </c>
      <c r="HY70" s="44">
        <v>43754</v>
      </c>
      <c r="HZ70" s="45" t="s">
        <v>231</v>
      </c>
      <c r="IA70" s="45">
        <v>0</v>
      </c>
      <c r="IB70" s="45">
        <v>0</v>
      </c>
      <c r="IC70" s="45">
        <v>1</v>
      </c>
      <c r="ID70" s="45">
        <v>0</v>
      </c>
      <c r="IE70" s="45">
        <v>1</v>
      </c>
      <c r="IF70" s="45">
        <v>0</v>
      </c>
      <c r="IG70" s="45">
        <v>0</v>
      </c>
      <c r="IH70" s="45">
        <v>0</v>
      </c>
      <c r="II70" s="45">
        <v>0</v>
      </c>
      <c r="IJ70" s="45">
        <v>1</v>
      </c>
      <c r="IK70" s="45">
        <v>0</v>
      </c>
      <c r="IL70" s="45">
        <v>0</v>
      </c>
      <c r="IM70" s="45">
        <v>0</v>
      </c>
      <c r="IN70" s="45">
        <v>0</v>
      </c>
      <c r="IO70" s="45">
        <v>0</v>
      </c>
      <c r="IP70" s="45">
        <v>0</v>
      </c>
      <c r="IQ70" s="45">
        <v>1</v>
      </c>
      <c r="IR70" s="45">
        <v>0</v>
      </c>
      <c r="IS70" s="45">
        <v>0</v>
      </c>
      <c r="IT70" s="45">
        <v>1</v>
      </c>
      <c r="IU70" s="45">
        <v>0</v>
      </c>
      <c r="IV70" s="45">
        <v>0</v>
      </c>
      <c r="IW70" s="45">
        <v>0</v>
      </c>
      <c r="IX70" s="45">
        <v>0</v>
      </c>
      <c r="IY70" s="45">
        <v>0</v>
      </c>
      <c r="IZ70" s="45">
        <v>0</v>
      </c>
      <c r="JA70" s="45">
        <v>0</v>
      </c>
      <c r="JB70" s="45">
        <v>0</v>
      </c>
      <c r="JC70" s="45">
        <v>0</v>
      </c>
      <c r="JD70" s="45">
        <v>1</v>
      </c>
      <c r="JE70" s="45">
        <v>0</v>
      </c>
      <c r="JF70" s="45" t="s">
        <v>232</v>
      </c>
      <c r="JG70" s="15">
        <v>0</v>
      </c>
      <c r="JH70" s="15">
        <v>0</v>
      </c>
      <c r="JI70" s="45">
        <v>0</v>
      </c>
      <c r="JJ70" s="45">
        <v>0</v>
      </c>
      <c r="JK70" s="45">
        <v>1</v>
      </c>
      <c r="JL70" s="45" t="s">
        <v>234</v>
      </c>
      <c r="JM70" s="45">
        <v>1</v>
      </c>
      <c r="JN70" s="45">
        <v>1</v>
      </c>
      <c r="JO70" s="45">
        <v>0</v>
      </c>
      <c r="JP70" s="45">
        <v>0</v>
      </c>
      <c r="JQ70" s="45">
        <v>0</v>
      </c>
      <c r="JR70" s="45">
        <v>0</v>
      </c>
      <c r="JS70" s="45">
        <v>0</v>
      </c>
      <c r="JT70" s="45">
        <v>0</v>
      </c>
      <c r="JU70" s="45">
        <v>0</v>
      </c>
      <c r="JV70" s="45">
        <v>0</v>
      </c>
      <c r="JW70" s="45">
        <v>1</v>
      </c>
      <c r="JX70" s="45">
        <v>0</v>
      </c>
      <c r="JY70" s="45">
        <v>0</v>
      </c>
      <c r="JZ70" s="45">
        <v>0</v>
      </c>
      <c r="KA70" s="45">
        <v>0</v>
      </c>
      <c r="KB70" s="45">
        <v>0</v>
      </c>
      <c r="KC70" s="45">
        <v>0</v>
      </c>
      <c r="KD70" s="45">
        <v>0</v>
      </c>
      <c r="KE70" s="45">
        <v>0</v>
      </c>
      <c r="KF70" s="45">
        <v>0</v>
      </c>
      <c r="KG70"/>
      <c r="KH70"/>
      <c r="KI70">
        <v>1</v>
      </c>
      <c r="KJ70">
        <v>0</v>
      </c>
      <c r="KK70">
        <v>1</v>
      </c>
      <c r="KL70">
        <v>0</v>
      </c>
      <c r="KM70">
        <v>1</v>
      </c>
      <c r="KN70">
        <v>0</v>
      </c>
      <c r="KO70">
        <v>0</v>
      </c>
      <c r="KP70">
        <v>0</v>
      </c>
      <c r="KQ70">
        <v>0</v>
      </c>
      <c r="KR70">
        <v>1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1</v>
      </c>
      <c r="KZ70">
        <v>0</v>
      </c>
      <c r="LA70">
        <v>0</v>
      </c>
      <c r="LB70">
        <v>1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1</v>
      </c>
      <c r="LM70">
        <v>0</v>
      </c>
      <c r="LN70"/>
      <c r="LO70">
        <v>0</v>
      </c>
      <c r="LP70">
        <v>0</v>
      </c>
      <c r="LQ70">
        <v>0</v>
      </c>
      <c r="LR70">
        <v>0</v>
      </c>
      <c r="LS70">
        <v>1</v>
      </c>
      <c r="LT70"/>
      <c r="LU70">
        <v>1</v>
      </c>
      <c r="LV70">
        <v>1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1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f t="shared" si="37"/>
        <v>0</v>
      </c>
      <c r="MR70">
        <f t="shared" si="38"/>
        <v>0</v>
      </c>
    </row>
    <row r="71" spans="1:358" ht="18" x14ac:dyDescent="0.25">
      <c r="A71" t="s">
        <v>463</v>
      </c>
      <c r="B71" s="3">
        <v>64</v>
      </c>
      <c r="C71" s="3">
        <v>0</v>
      </c>
      <c r="D71" s="3">
        <v>0</v>
      </c>
      <c r="E71" s="3"/>
      <c r="F71" s="55">
        <v>399</v>
      </c>
      <c r="G71" s="55"/>
      <c r="H71" s="57">
        <v>0</v>
      </c>
      <c r="I71" s="57">
        <v>0</v>
      </c>
      <c r="J71" s="57"/>
      <c r="K71" s="3"/>
      <c r="L71" s="3"/>
      <c r="M71" s="3"/>
      <c r="N71" s="3">
        <v>0</v>
      </c>
      <c r="O71" s="2">
        <v>45085</v>
      </c>
      <c r="P71" s="64">
        <f t="shared" si="32"/>
        <v>399</v>
      </c>
      <c r="Q71">
        <v>1</v>
      </c>
      <c r="R71">
        <v>1</v>
      </c>
      <c r="S71">
        <v>1</v>
      </c>
      <c r="T71">
        <v>75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107</v>
      </c>
      <c r="AO71">
        <v>187</v>
      </c>
      <c r="AP71">
        <v>30.6</v>
      </c>
      <c r="AQ71">
        <v>36.4</v>
      </c>
      <c r="AR71">
        <v>114</v>
      </c>
      <c r="AS71">
        <v>83</v>
      </c>
      <c r="AV71">
        <v>67</v>
      </c>
      <c r="AW71" s="1">
        <v>44686</v>
      </c>
      <c r="AX71" s="1">
        <v>44686</v>
      </c>
      <c r="AY71">
        <v>0</v>
      </c>
      <c r="AZ71" s="1">
        <v>44686</v>
      </c>
      <c r="BA71">
        <v>1</v>
      </c>
      <c r="BB71">
        <v>0</v>
      </c>
      <c r="BC71">
        <v>0</v>
      </c>
      <c r="BD71">
        <v>1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 s="66">
        <v>0</v>
      </c>
      <c r="BN71">
        <v>0</v>
      </c>
      <c r="BO71">
        <v>0</v>
      </c>
      <c r="BP71" s="66">
        <f t="shared" si="40"/>
        <v>0</v>
      </c>
      <c r="BQ71">
        <v>0</v>
      </c>
      <c r="BR71">
        <v>0</v>
      </c>
      <c r="BS71">
        <v>0</v>
      </c>
      <c r="BT71">
        <v>0</v>
      </c>
      <c r="BU71" s="66">
        <f t="shared" si="41"/>
        <v>0</v>
      </c>
      <c r="BV71">
        <v>0</v>
      </c>
      <c r="BW71">
        <v>0</v>
      </c>
      <c r="BX71" s="66">
        <f t="shared" si="33"/>
        <v>0</v>
      </c>
      <c r="BY71">
        <v>0</v>
      </c>
      <c r="BZ71">
        <f t="shared" si="34"/>
        <v>0</v>
      </c>
      <c r="CA71">
        <v>0</v>
      </c>
      <c r="CB71">
        <v>0</v>
      </c>
      <c r="CC71">
        <v>1</v>
      </c>
      <c r="CD71">
        <v>0</v>
      </c>
      <c r="CE71">
        <v>0</v>
      </c>
      <c r="CF71">
        <v>0</v>
      </c>
      <c r="CG71">
        <v>0</v>
      </c>
      <c r="CH71">
        <v>1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1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1</v>
      </c>
      <c r="CY71">
        <v>0</v>
      </c>
      <c r="DA71" s="1">
        <v>44686</v>
      </c>
      <c r="DB71" s="66">
        <f t="shared" si="35"/>
        <v>0</v>
      </c>
      <c r="DC71" t="s">
        <v>1</v>
      </c>
      <c r="DD71">
        <v>0</v>
      </c>
      <c r="DE71" s="1">
        <v>44691</v>
      </c>
      <c r="DF71">
        <v>6</v>
      </c>
      <c r="DG71" s="1">
        <v>44686</v>
      </c>
      <c r="DH71">
        <v>12</v>
      </c>
      <c r="DI71">
        <v>9.4</v>
      </c>
      <c r="DJ71">
        <v>2.5</v>
      </c>
      <c r="DK71" s="66">
        <v>334</v>
      </c>
      <c r="DL71">
        <v>6</v>
      </c>
      <c r="DM71">
        <v>73</v>
      </c>
      <c r="DN71">
        <v>8304</v>
      </c>
      <c r="DO71">
        <v>2</v>
      </c>
      <c r="DP71">
        <v>334</v>
      </c>
      <c r="DQ71">
        <v>8304</v>
      </c>
      <c r="DR71">
        <v>101</v>
      </c>
      <c r="DS71">
        <v>8.9</v>
      </c>
      <c r="DT71">
        <v>274</v>
      </c>
      <c r="DU71">
        <v>144</v>
      </c>
      <c r="DW71" s="1">
        <v>44686</v>
      </c>
      <c r="DX71">
        <v>14</v>
      </c>
      <c r="DY71">
        <v>11</v>
      </c>
      <c r="DZ71">
        <v>0</v>
      </c>
      <c r="EA71">
        <v>14</v>
      </c>
      <c r="EB71">
        <v>0</v>
      </c>
      <c r="EC71">
        <v>1.07</v>
      </c>
      <c r="ED71">
        <v>0.92</v>
      </c>
      <c r="EE71">
        <v>0</v>
      </c>
      <c r="EF71">
        <v>1.07</v>
      </c>
      <c r="EG71">
        <v>0</v>
      </c>
      <c r="EH71">
        <v>66</v>
      </c>
      <c r="EI71" s="62">
        <v>1.27272727272727</v>
      </c>
      <c r="EJ71">
        <v>84</v>
      </c>
      <c r="EK71">
        <v>0</v>
      </c>
      <c r="EL71">
        <f t="shared" si="36"/>
        <v>18</v>
      </c>
      <c r="EM71">
        <v>58</v>
      </c>
      <c r="EN71">
        <v>0</v>
      </c>
      <c r="EO71">
        <v>0.19</v>
      </c>
      <c r="ER71">
        <v>20</v>
      </c>
      <c r="ES71">
        <v>38</v>
      </c>
      <c r="ET71">
        <v>42</v>
      </c>
      <c r="EU71">
        <v>28</v>
      </c>
      <c r="EV71">
        <v>47</v>
      </c>
      <c r="EW71">
        <v>98</v>
      </c>
      <c r="EX71">
        <v>10</v>
      </c>
      <c r="EY71">
        <v>3</v>
      </c>
      <c r="FB71">
        <v>1</v>
      </c>
      <c r="FC71">
        <v>1</v>
      </c>
      <c r="FD71">
        <v>0</v>
      </c>
      <c r="FF71">
        <v>1</v>
      </c>
      <c r="FG71">
        <v>0</v>
      </c>
      <c r="FI71"/>
      <c r="FK71">
        <v>0</v>
      </c>
      <c r="FL71">
        <v>0</v>
      </c>
      <c r="FO71">
        <v>0</v>
      </c>
      <c r="FQ71" s="22">
        <v>44685</v>
      </c>
      <c r="FR71" s="22" t="s">
        <v>230</v>
      </c>
      <c r="FS71" s="15">
        <v>1</v>
      </c>
      <c r="FT71" s="15">
        <v>0</v>
      </c>
      <c r="FU71" s="15">
        <v>1</v>
      </c>
      <c r="FV71" s="15">
        <v>0</v>
      </c>
      <c r="FW71" s="15">
        <v>1</v>
      </c>
      <c r="FX71" s="15">
        <v>1</v>
      </c>
      <c r="FY71" s="15">
        <v>1</v>
      </c>
      <c r="FZ71" s="15">
        <v>0</v>
      </c>
      <c r="GA71" s="15">
        <v>1</v>
      </c>
      <c r="GB71" s="15">
        <v>1</v>
      </c>
      <c r="GC71" s="15">
        <v>0</v>
      </c>
      <c r="GD71" s="15">
        <v>1</v>
      </c>
      <c r="GE71" s="15">
        <v>0</v>
      </c>
      <c r="GF71" s="15">
        <v>0</v>
      </c>
      <c r="GG71" s="15">
        <v>0</v>
      </c>
      <c r="GH71" s="15">
        <v>0</v>
      </c>
      <c r="GI71" s="15">
        <v>1</v>
      </c>
      <c r="GJ71" s="15">
        <v>0</v>
      </c>
      <c r="GK71" s="15">
        <v>0</v>
      </c>
      <c r="GL71" s="15">
        <v>0</v>
      </c>
      <c r="GM71" s="15">
        <v>1</v>
      </c>
      <c r="GN71" s="15">
        <v>0</v>
      </c>
      <c r="GO71" s="15">
        <v>1</v>
      </c>
      <c r="GP71" s="15">
        <v>0</v>
      </c>
      <c r="GQ71" s="15">
        <v>1</v>
      </c>
      <c r="GR71" s="15">
        <v>0</v>
      </c>
      <c r="GS71" s="15">
        <v>1</v>
      </c>
      <c r="GT71" s="15">
        <v>0</v>
      </c>
      <c r="GU71" s="15">
        <v>1</v>
      </c>
      <c r="GV71" s="15">
        <v>0</v>
      </c>
      <c r="GW71" s="15">
        <v>0</v>
      </c>
      <c r="GX71" s="15">
        <v>0</v>
      </c>
      <c r="GY71" s="15">
        <v>0</v>
      </c>
      <c r="GZ71" s="15">
        <v>0</v>
      </c>
      <c r="HA71" s="15">
        <v>0</v>
      </c>
      <c r="HB71" s="15">
        <v>1</v>
      </c>
      <c r="HC71" s="15">
        <v>0</v>
      </c>
      <c r="HD71" s="15">
        <v>0</v>
      </c>
      <c r="HE71" s="15">
        <v>0</v>
      </c>
      <c r="HF71" s="15">
        <v>0</v>
      </c>
      <c r="HG71" s="15">
        <v>0</v>
      </c>
      <c r="HH71" s="15">
        <v>1</v>
      </c>
      <c r="HI71" s="15">
        <v>1</v>
      </c>
      <c r="HJ71" s="15">
        <v>0</v>
      </c>
      <c r="HK71" s="15">
        <v>0</v>
      </c>
      <c r="HL71" s="15">
        <v>1</v>
      </c>
      <c r="HM71" s="15">
        <v>0</v>
      </c>
      <c r="HN71" s="15">
        <v>0</v>
      </c>
      <c r="HO71" s="15">
        <v>1</v>
      </c>
      <c r="HP71" s="15">
        <v>0</v>
      </c>
      <c r="HQ71" s="15">
        <v>0</v>
      </c>
      <c r="HR71" s="15">
        <v>0</v>
      </c>
      <c r="HS71" s="15">
        <v>0</v>
      </c>
      <c r="HT71" s="15">
        <v>1</v>
      </c>
      <c r="HU71" s="15">
        <v>1</v>
      </c>
      <c r="HV71" s="15">
        <v>0</v>
      </c>
      <c r="HW71" s="15">
        <v>0</v>
      </c>
      <c r="HX71" s="15">
        <v>0</v>
      </c>
      <c r="HY71" s="22">
        <v>44688</v>
      </c>
      <c r="HZ71" s="15" t="s">
        <v>231</v>
      </c>
      <c r="IA71" s="15">
        <v>1</v>
      </c>
      <c r="IB71" s="15">
        <v>0</v>
      </c>
      <c r="IC71" s="15">
        <v>1</v>
      </c>
      <c r="ID71" s="15">
        <v>0</v>
      </c>
      <c r="IE71" s="15">
        <v>1</v>
      </c>
      <c r="IF71" s="15">
        <v>1</v>
      </c>
      <c r="IG71" s="15">
        <v>1</v>
      </c>
      <c r="IH71" s="15">
        <v>0</v>
      </c>
      <c r="II71" s="15">
        <v>1</v>
      </c>
      <c r="IJ71" s="15">
        <v>1</v>
      </c>
      <c r="IK71" s="15">
        <v>0</v>
      </c>
      <c r="IL71" s="15">
        <v>1</v>
      </c>
      <c r="IM71" s="15">
        <v>0</v>
      </c>
      <c r="IN71" s="15">
        <v>0</v>
      </c>
      <c r="IO71" s="15">
        <v>0</v>
      </c>
      <c r="IP71" s="15">
        <v>0</v>
      </c>
      <c r="IQ71" s="15">
        <v>1</v>
      </c>
      <c r="IR71" s="15">
        <v>0</v>
      </c>
      <c r="IS71" s="15">
        <v>0</v>
      </c>
      <c r="IT71" s="15">
        <v>0</v>
      </c>
      <c r="IU71" s="15">
        <v>1</v>
      </c>
      <c r="IV71" s="15">
        <v>0</v>
      </c>
      <c r="IW71" s="15">
        <v>1</v>
      </c>
      <c r="IX71" s="15">
        <v>0</v>
      </c>
      <c r="IY71" s="15">
        <v>1</v>
      </c>
      <c r="IZ71" s="15">
        <v>0</v>
      </c>
      <c r="JA71" s="15">
        <v>1</v>
      </c>
      <c r="JB71" s="15">
        <v>0</v>
      </c>
      <c r="JC71" s="15">
        <v>1</v>
      </c>
      <c r="JD71" s="15">
        <v>0</v>
      </c>
      <c r="JE71" s="15">
        <v>0</v>
      </c>
      <c r="JF71" s="15">
        <v>0</v>
      </c>
      <c r="JG71" s="15">
        <v>0</v>
      </c>
      <c r="JH71" s="15">
        <v>0</v>
      </c>
      <c r="JI71" s="15">
        <v>0</v>
      </c>
      <c r="JJ71" s="15">
        <v>1</v>
      </c>
      <c r="JK71" s="15">
        <v>0</v>
      </c>
      <c r="JL71" s="15">
        <v>0</v>
      </c>
      <c r="JM71" s="15">
        <v>0</v>
      </c>
      <c r="JN71" s="15">
        <v>0</v>
      </c>
      <c r="JO71" s="15">
        <v>0</v>
      </c>
      <c r="JP71" s="15">
        <v>1</v>
      </c>
      <c r="JQ71" s="15">
        <v>1</v>
      </c>
      <c r="JR71" s="15">
        <v>0</v>
      </c>
      <c r="JS71" s="15">
        <v>0</v>
      </c>
      <c r="JT71" s="15">
        <v>1</v>
      </c>
      <c r="JU71" s="15">
        <v>0</v>
      </c>
      <c r="JV71" s="15">
        <v>0</v>
      </c>
      <c r="JW71" s="15">
        <v>1</v>
      </c>
      <c r="JX71" s="15">
        <v>0</v>
      </c>
      <c r="JY71" s="15">
        <v>0</v>
      </c>
      <c r="JZ71" s="15">
        <v>0</v>
      </c>
      <c r="KA71" s="15">
        <v>0</v>
      </c>
      <c r="KB71" s="15">
        <v>1</v>
      </c>
      <c r="KC71" s="15">
        <v>1</v>
      </c>
      <c r="KD71" s="15">
        <v>0</v>
      </c>
      <c r="KE71" s="15">
        <v>0</v>
      </c>
      <c r="KF71" s="15">
        <v>0</v>
      </c>
      <c r="KI71">
        <v>1</v>
      </c>
      <c r="KJ71">
        <v>0</v>
      </c>
      <c r="KK71">
        <v>1</v>
      </c>
      <c r="KL71">
        <v>0</v>
      </c>
      <c r="KM71">
        <v>1</v>
      </c>
      <c r="KN71">
        <v>1</v>
      </c>
      <c r="KO71">
        <v>1</v>
      </c>
      <c r="KP71">
        <v>0</v>
      </c>
      <c r="KQ71">
        <v>1</v>
      </c>
      <c r="KR71">
        <v>1</v>
      </c>
      <c r="KS71">
        <v>0</v>
      </c>
      <c r="KT71">
        <v>1</v>
      </c>
      <c r="KU71">
        <v>0</v>
      </c>
      <c r="KV71">
        <v>0</v>
      </c>
      <c r="KW71">
        <v>0</v>
      </c>
      <c r="KX71">
        <v>0</v>
      </c>
      <c r="KY71">
        <v>1</v>
      </c>
      <c r="KZ71">
        <v>0</v>
      </c>
      <c r="LA71">
        <v>0</v>
      </c>
      <c r="LB71">
        <v>0</v>
      </c>
      <c r="LC71">
        <v>1</v>
      </c>
      <c r="LD71">
        <v>0</v>
      </c>
      <c r="LE71">
        <v>1</v>
      </c>
      <c r="LF71">
        <v>0</v>
      </c>
      <c r="LG71">
        <v>1</v>
      </c>
      <c r="LH71">
        <v>0</v>
      </c>
      <c r="LI71">
        <v>1</v>
      </c>
      <c r="LJ71">
        <v>0</v>
      </c>
      <c r="LK71">
        <v>1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1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1</v>
      </c>
      <c r="LY71">
        <v>1</v>
      </c>
      <c r="LZ71">
        <v>0</v>
      </c>
      <c r="MA71">
        <v>0</v>
      </c>
      <c r="MB71">
        <v>1</v>
      </c>
      <c r="MC71">
        <v>0</v>
      </c>
      <c r="MD71">
        <v>0</v>
      </c>
      <c r="ME71">
        <v>1</v>
      </c>
      <c r="MF71">
        <v>0</v>
      </c>
      <c r="MG71">
        <v>0</v>
      </c>
      <c r="MH71">
        <v>0</v>
      </c>
      <c r="MI71">
        <v>0</v>
      </c>
      <c r="MJ71">
        <v>1</v>
      </c>
      <c r="MK71">
        <v>1</v>
      </c>
      <c r="ML71">
        <v>0</v>
      </c>
      <c r="MM71">
        <v>0</v>
      </c>
      <c r="MN71">
        <v>0</v>
      </c>
      <c r="MO71">
        <v>0</v>
      </c>
      <c r="MP71">
        <v>0</v>
      </c>
      <c r="MQ71">
        <f t="shared" si="37"/>
        <v>0</v>
      </c>
      <c r="MR71">
        <f t="shared" si="38"/>
        <v>0</v>
      </c>
      <c r="MT71">
        <v>1</v>
      </c>
    </row>
    <row r="72" spans="1:358" ht="18" x14ac:dyDescent="0.25">
      <c r="A72" t="s">
        <v>464</v>
      </c>
      <c r="B72" s="3">
        <v>31</v>
      </c>
      <c r="C72" s="3">
        <v>1</v>
      </c>
      <c r="D72" s="3">
        <v>0</v>
      </c>
      <c r="E72" s="3"/>
      <c r="F72" s="55">
        <v>212</v>
      </c>
      <c r="G72" s="55"/>
      <c r="H72" s="57">
        <v>0</v>
      </c>
      <c r="I72" s="57">
        <v>0</v>
      </c>
      <c r="J72" s="57"/>
      <c r="L72"/>
      <c r="N72" s="3">
        <v>0</v>
      </c>
      <c r="O72" s="2">
        <v>45086</v>
      </c>
      <c r="P72" s="64">
        <f t="shared" si="32"/>
        <v>212</v>
      </c>
      <c r="Q72">
        <v>1</v>
      </c>
      <c r="R72">
        <v>0</v>
      </c>
      <c r="S72">
        <v>0</v>
      </c>
      <c r="T72">
        <v>92</v>
      </c>
      <c r="U72">
        <v>0</v>
      </c>
      <c r="V72">
        <v>1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111</v>
      </c>
      <c r="AO72">
        <v>168</v>
      </c>
      <c r="AP72">
        <v>39.299999999999997</v>
      </c>
      <c r="AT72">
        <v>2</v>
      </c>
      <c r="AU72">
        <v>0</v>
      </c>
      <c r="AV72">
        <v>102</v>
      </c>
      <c r="AW72" s="1">
        <v>44874</v>
      </c>
      <c r="AX72" s="1">
        <v>44874</v>
      </c>
      <c r="AY72">
        <v>0</v>
      </c>
      <c r="AZ72" s="1">
        <v>44842</v>
      </c>
      <c r="BA72">
        <v>1</v>
      </c>
      <c r="BB72">
        <v>0</v>
      </c>
      <c r="BC72">
        <v>0</v>
      </c>
      <c r="BD72">
        <v>1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 s="66">
        <v>0</v>
      </c>
      <c r="BN72">
        <v>0</v>
      </c>
      <c r="BO72">
        <v>0</v>
      </c>
      <c r="BP72" s="66">
        <f t="shared" si="40"/>
        <v>0</v>
      </c>
      <c r="BQ72">
        <v>0</v>
      </c>
      <c r="BR72">
        <v>0</v>
      </c>
      <c r="BS72">
        <v>0</v>
      </c>
      <c r="BT72">
        <v>0</v>
      </c>
      <c r="BU72" s="66">
        <f t="shared" si="41"/>
        <v>0</v>
      </c>
      <c r="BV72">
        <v>0</v>
      </c>
      <c r="BW72">
        <v>0</v>
      </c>
      <c r="BX72" s="66">
        <f t="shared" si="33"/>
        <v>0</v>
      </c>
      <c r="BY72">
        <v>0</v>
      </c>
      <c r="BZ72">
        <f t="shared" si="34"/>
        <v>0</v>
      </c>
      <c r="CA72">
        <v>0</v>
      </c>
      <c r="CB72">
        <v>0</v>
      </c>
      <c r="CC72">
        <v>2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</v>
      </c>
      <c r="CO72">
        <v>1</v>
      </c>
      <c r="CP72">
        <v>1</v>
      </c>
      <c r="CQ72">
        <v>0</v>
      </c>
      <c r="CR72">
        <v>0</v>
      </c>
      <c r="CS72">
        <v>0</v>
      </c>
      <c r="CT72">
        <v>0</v>
      </c>
      <c r="CU72">
        <v>1</v>
      </c>
      <c r="CV72">
        <v>1</v>
      </c>
      <c r="CW72">
        <v>0</v>
      </c>
      <c r="CX72">
        <v>1</v>
      </c>
      <c r="DA72" s="1">
        <v>44874</v>
      </c>
      <c r="DB72" s="66">
        <f t="shared" si="35"/>
        <v>32</v>
      </c>
      <c r="DC72" t="s">
        <v>1</v>
      </c>
      <c r="DD72">
        <v>0</v>
      </c>
      <c r="DE72" s="1">
        <v>44883</v>
      </c>
      <c r="DF72">
        <v>10</v>
      </c>
      <c r="DG72" s="1">
        <v>44875</v>
      </c>
      <c r="DH72">
        <v>4</v>
      </c>
      <c r="DI72">
        <v>16</v>
      </c>
      <c r="DJ72">
        <v>2.2000000000000002</v>
      </c>
      <c r="DK72" s="66">
        <v>249</v>
      </c>
      <c r="DL72">
        <v>4.99</v>
      </c>
      <c r="DM72">
        <v>57</v>
      </c>
      <c r="DO72">
        <v>8</v>
      </c>
      <c r="DP72">
        <v>249</v>
      </c>
      <c r="DR72">
        <v>50</v>
      </c>
      <c r="DS72">
        <v>4.5999999999999996</v>
      </c>
      <c r="DW72" s="1">
        <v>44874</v>
      </c>
      <c r="DX72">
        <v>17.399999999999999</v>
      </c>
      <c r="DY72">
        <v>12.1</v>
      </c>
      <c r="DZ72">
        <v>1</v>
      </c>
      <c r="EA72">
        <v>21</v>
      </c>
      <c r="EB72">
        <v>1</v>
      </c>
      <c r="EC72">
        <v>1.3</v>
      </c>
      <c r="ED72">
        <v>0.88</v>
      </c>
      <c r="EE72">
        <v>0</v>
      </c>
      <c r="EF72">
        <v>1.3</v>
      </c>
      <c r="EG72">
        <v>0</v>
      </c>
      <c r="EH72">
        <v>140</v>
      </c>
      <c r="EI72" s="62">
        <v>1.4285714285714299</v>
      </c>
      <c r="EJ72">
        <v>200</v>
      </c>
      <c r="EK72" s="39">
        <v>1</v>
      </c>
      <c r="EL72">
        <f t="shared" si="36"/>
        <v>60</v>
      </c>
      <c r="EM72">
        <v>200</v>
      </c>
      <c r="EN72" s="39">
        <v>1</v>
      </c>
      <c r="EO72">
        <v>0.35</v>
      </c>
      <c r="ER72">
        <v>19</v>
      </c>
      <c r="ET72">
        <v>14</v>
      </c>
      <c r="EU72">
        <v>8</v>
      </c>
      <c r="EV72">
        <v>18</v>
      </c>
      <c r="EW72">
        <v>93</v>
      </c>
      <c r="EX72">
        <v>5</v>
      </c>
      <c r="EY72">
        <v>3</v>
      </c>
      <c r="FC72">
        <v>0</v>
      </c>
      <c r="FF72">
        <v>0</v>
      </c>
      <c r="FG72">
        <v>0</v>
      </c>
      <c r="FI72"/>
      <c r="FK72">
        <v>0</v>
      </c>
      <c r="FL72">
        <v>0</v>
      </c>
      <c r="FO72">
        <v>0</v>
      </c>
      <c r="FQ72" s="22">
        <v>44874</v>
      </c>
      <c r="FR72" s="22" t="s">
        <v>230</v>
      </c>
      <c r="FS72" s="15">
        <v>1</v>
      </c>
      <c r="FT72" s="15">
        <v>1</v>
      </c>
      <c r="FU72" s="15">
        <v>1</v>
      </c>
      <c r="FV72" s="15">
        <v>0</v>
      </c>
      <c r="FW72" s="15">
        <v>1</v>
      </c>
      <c r="FX72" s="15">
        <v>1</v>
      </c>
      <c r="FY72" s="15">
        <v>0</v>
      </c>
      <c r="FZ72" s="15">
        <v>0</v>
      </c>
      <c r="GA72" s="15">
        <v>1</v>
      </c>
      <c r="GB72" s="15">
        <v>0</v>
      </c>
      <c r="GC72" s="15">
        <v>1</v>
      </c>
      <c r="GD72" s="15">
        <v>1</v>
      </c>
      <c r="GE72" s="15">
        <v>0</v>
      </c>
      <c r="GF72" s="15">
        <v>0</v>
      </c>
      <c r="GG72" s="15">
        <v>0</v>
      </c>
      <c r="GH72" s="15">
        <v>0</v>
      </c>
      <c r="GI72" s="15">
        <v>1</v>
      </c>
      <c r="GJ72" s="15">
        <v>0</v>
      </c>
      <c r="GK72" s="15">
        <v>0</v>
      </c>
      <c r="GL72" s="15">
        <v>0</v>
      </c>
      <c r="GM72" s="15">
        <v>1</v>
      </c>
      <c r="GN72" s="15">
        <v>0</v>
      </c>
      <c r="GO72" s="15">
        <v>1</v>
      </c>
      <c r="GP72" s="15">
        <v>1</v>
      </c>
      <c r="GQ72" s="15">
        <v>0</v>
      </c>
      <c r="GR72" s="15">
        <v>1</v>
      </c>
      <c r="GS72" s="15">
        <v>0</v>
      </c>
      <c r="GT72" s="15">
        <v>0</v>
      </c>
      <c r="GU72" s="15">
        <v>1</v>
      </c>
      <c r="GV72" s="15">
        <v>0</v>
      </c>
      <c r="GW72" s="15">
        <v>0</v>
      </c>
      <c r="GX72" s="15">
        <v>0</v>
      </c>
      <c r="GY72" s="15">
        <v>0</v>
      </c>
      <c r="GZ72" s="15">
        <v>0</v>
      </c>
      <c r="HA72" s="15">
        <v>0</v>
      </c>
      <c r="HB72" s="15">
        <v>1</v>
      </c>
      <c r="HC72" s="15">
        <v>0</v>
      </c>
      <c r="HD72" s="15">
        <v>0</v>
      </c>
      <c r="HE72" s="15">
        <v>0</v>
      </c>
      <c r="HF72" s="15">
        <v>0</v>
      </c>
      <c r="HG72" s="15">
        <v>0</v>
      </c>
      <c r="HH72" s="15">
        <v>1</v>
      </c>
      <c r="HI72" s="15">
        <v>1</v>
      </c>
      <c r="HJ72" s="15">
        <v>1</v>
      </c>
      <c r="HK72" s="15">
        <v>0</v>
      </c>
      <c r="HL72" s="15">
        <v>1</v>
      </c>
      <c r="HM72" s="15">
        <v>0</v>
      </c>
      <c r="HN72" s="15">
        <v>1</v>
      </c>
      <c r="HO72" s="15">
        <v>1</v>
      </c>
      <c r="HP72" s="15">
        <v>0</v>
      </c>
      <c r="HQ72" s="15">
        <v>0</v>
      </c>
      <c r="HR72" s="15">
        <v>0</v>
      </c>
      <c r="HS72" s="15">
        <v>0</v>
      </c>
      <c r="HT72" s="15">
        <v>1</v>
      </c>
      <c r="HU72" s="15">
        <v>1</v>
      </c>
      <c r="HV72" s="15">
        <v>0</v>
      </c>
      <c r="HW72" s="15">
        <v>1</v>
      </c>
      <c r="HX72" s="15">
        <v>0</v>
      </c>
      <c r="HY72" s="22">
        <v>44879</v>
      </c>
      <c r="HZ72" s="15" t="s">
        <v>230</v>
      </c>
      <c r="IA72" s="15">
        <v>0</v>
      </c>
      <c r="IB72" s="15">
        <v>0</v>
      </c>
      <c r="IC72" s="15">
        <v>1</v>
      </c>
      <c r="ID72" s="15">
        <v>1</v>
      </c>
      <c r="IE72" s="15">
        <v>1</v>
      </c>
      <c r="IF72" s="15">
        <v>1</v>
      </c>
      <c r="IG72" s="15">
        <v>0</v>
      </c>
      <c r="IH72" s="15">
        <v>0</v>
      </c>
      <c r="II72" s="15">
        <v>0</v>
      </c>
      <c r="IJ72" s="15">
        <v>0</v>
      </c>
      <c r="IK72" s="15">
        <v>1</v>
      </c>
      <c r="IL72" s="15">
        <v>1</v>
      </c>
      <c r="IM72" s="15">
        <v>0</v>
      </c>
      <c r="IN72" s="15">
        <v>0</v>
      </c>
      <c r="IO72" s="15">
        <v>0</v>
      </c>
      <c r="IP72" s="15">
        <v>0</v>
      </c>
      <c r="IQ72" s="15">
        <v>1</v>
      </c>
      <c r="IR72" s="15">
        <v>0</v>
      </c>
      <c r="IS72" s="15">
        <v>0</v>
      </c>
      <c r="IT72" s="15">
        <v>0</v>
      </c>
      <c r="IU72" s="15">
        <v>1</v>
      </c>
      <c r="IV72" s="15">
        <v>0</v>
      </c>
      <c r="IW72" s="15">
        <v>1</v>
      </c>
      <c r="IX72" s="15">
        <v>1</v>
      </c>
      <c r="IY72" s="15">
        <v>0</v>
      </c>
      <c r="IZ72" s="15">
        <v>1</v>
      </c>
      <c r="JA72" s="15">
        <v>0</v>
      </c>
      <c r="JB72" s="15">
        <v>0</v>
      </c>
      <c r="JC72" s="15">
        <v>1</v>
      </c>
      <c r="JD72" s="15">
        <v>0</v>
      </c>
      <c r="JE72" s="15">
        <v>0</v>
      </c>
      <c r="JF72" s="15">
        <v>0</v>
      </c>
      <c r="JG72" s="15">
        <v>0</v>
      </c>
      <c r="JH72" s="15">
        <v>0</v>
      </c>
      <c r="JI72" s="15">
        <v>0</v>
      </c>
      <c r="JJ72" s="15">
        <v>1</v>
      </c>
      <c r="JK72" s="15">
        <v>0</v>
      </c>
      <c r="JL72" s="15">
        <v>0</v>
      </c>
      <c r="JM72" s="15">
        <v>0</v>
      </c>
      <c r="JN72" s="15">
        <v>0</v>
      </c>
      <c r="JO72" s="15">
        <v>0</v>
      </c>
      <c r="JP72" s="15">
        <v>1</v>
      </c>
      <c r="JQ72" s="15">
        <v>0</v>
      </c>
      <c r="JR72" s="15">
        <v>0</v>
      </c>
      <c r="JS72" s="15">
        <v>0</v>
      </c>
      <c r="JT72" s="15">
        <v>1</v>
      </c>
      <c r="JU72" s="15">
        <v>0</v>
      </c>
      <c r="JV72" s="15">
        <v>1</v>
      </c>
      <c r="JW72" s="15">
        <v>1</v>
      </c>
      <c r="JX72" s="15">
        <v>0</v>
      </c>
      <c r="JY72" s="15">
        <v>0</v>
      </c>
      <c r="JZ72" s="15">
        <v>0</v>
      </c>
      <c r="KA72" s="15">
        <v>0</v>
      </c>
      <c r="KB72" s="15">
        <v>1</v>
      </c>
      <c r="KC72" s="15">
        <v>1</v>
      </c>
      <c r="KD72" s="15">
        <v>0</v>
      </c>
      <c r="KE72" s="15">
        <v>1</v>
      </c>
      <c r="KF72" s="15">
        <v>0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0</v>
      </c>
      <c r="KP72">
        <v>0</v>
      </c>
      <c r="KQ72">
        <v>1</v>
      </c>
      <c r="KR72">
        <v>0</v>
      </c>
      <c r="KS72">
        <v>1</v>
      </c>
      <c r="KT72">
        <v>1</v>
      </c>
      <c r="KU72">
        <v>0</v>
      </c>
      <c r="KV72">
        <v>0</v>
      </c>
      <c r="KW72">
        <v>0</v>
      </c>
      <c r="KX72">
        <v>0</v>
      </c>
      <c r="KY72">
        <v>1</v>
      </c>
      <c r="KZ72">
        <v>0</v>
      </c>
      <c r="LA72">
        <v>0</v>
      </c>
      <c r="LB72">
        <v>0</v>
      </c>
      <c r="LC72">
        <v>1</v>
      </c>
      <c r="LD72">
        <v>0</v>
      </c>
      <c r="LE72">
        <v>1</v>
      </c>
      <c r="LF72">
        <v>1</v>
      </c>
      <c r="LG72">
        <v>0</v>
      </c>
      <c r="LH72">
        <v>1</v>
      </c>
      <c r="LI72">
        <v>0</v>
      </c>
      <c r="LJ72">
        <v>0</v>
      </c>
      <c r="LK72">
        <v>1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1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1</v>
      </c>
      <c r="LY72">
        <v>1</v>
      </c>
      <c r="LZ72">
        <v>1</v>
      </c>
      <c r="MA72">
        <v>0</v>
      </c>
      <c r="MB72">
        <v>1</v>
      </c>
      <c r="MC72">
        <v>0</v>
      </c>
      <c r="MD72">
        <v>1</v>
      </c>
      <c r="ME72">
        <v>1</v>
      </c>
      <c r="MF72">
        <v>0</v>
      </c>
      <c r="MG72">
        <v>0</v>
      </c>
      <c r="MH72">
        <v>0</v>
      </c>
      <c r="MI72">
        <v>0</v>
      </c>
      <c r="MJ72">
        <v>1</v>
      </c>
      <c r="MK72">
        <v>1</v>
      </c>
      <c r="ML72">
        <v>0</v>
      </c>
      <c r="MM72">
        <v>1</v>
      </c>
      <c r="MN72">
        <v>0</v>
      </c>
      <c r="MO72">
        <v>1</v>
      </c>
      <c r="MP72">
        <v>0</v>
      </c>
      <c r="MQ72">
        <v>1</v>
      </c>
      <c r="MR72">
        <v>1</v>
      </c>
      <c r="MS72">
        <v>0</v>
      </c>
      <c r="MT72">
        <v>1</v>
      </c>
    </row>
    <row r="73" spans="1:358" ht="18" x14ac:dyDescent="0.25">
      <c r="A73" t="s">
        <v>465</v>
      </c>
      <c r="B73" s="3">
        <v>42</v>
      </c>
      <c r="C73" s="3">
        <v>1</v>
      </c>
      <c r="D73" s="3">
        <v>0</v>
      </c>
      <c r="E73" s="3"/>
      <c r="F73" s="55">
        <v>15</v>
      </c>
      <c r="G73" s="55"/>
      <c r="H73" s="57">
        <v>0</v>
      </c>
      <c r="I73" s="57">
        <v>0</v>
      </c>
      <c r="J73" s="57"/>
      <c r="K73" s="3"/>
      <c r="L73" s="3"/>
      <c r="M73" s="3"/>
      <c r="N73" s="3">
        <v>0</v>
      </c>
      <c r="O73" s="2">
        <v>43878</v>
      </c>
      <c r="P73" s="64">
        <f t="shared" si="32"/>
        <v>15</v>
      </c>
      <c r="Q73">
        <v>1</v>
      </c>
      <c r="S73">
        <v>1</v>
      </c>
      <c r="U73">
        <v>0</v>
      </c>
      <c r="V73">
        <v>1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125</v>
      </c>
      <c r="AO73">
        <v>165</v>
      </c>
      <c r="AP73">
        <v>46</v>
      </c>
      <c r="AQ73">
        <v>36.4</v>
      </c>
      <c r="AR73">
        <v>143</v>
      </c>
      <c r="AS73">
        <v>84</v>
      </c>
      <c r="AT73">
        <v>2</v>
      </c>
      <c r="AU73">
        <v>0</v>
      </c>
      <c r="AV73">
        <v>98</v>
      </c>
      <c r="AW73" s="1">
        <v>43863</v>
      </c>
      <c r="AX73" s="1">
        <v>43863</v>
      </c>
      <c r="AY73">
        <v>0</v>
      </c>
      <c r="AZ73" s="1"/>
      <c r="BA73">
        <v>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 s="66">
        <v>0</v>
      </c>
      <c r="BN73">
        <v>0</v>
      </c>
      <c r="BO73">
        <v>0</v>
      </c>
      <c r="BP73" s="66">
        <f t="shared" si="40"/>
        <v>0</v>
      </c>
      <c r="BQ73">
        <v>0</v>
      </c>
      <c r="BR73">
        <v>0</v>
      </c>
      <c r="BS73">
        <v>0</v>
      </c>
      <c r="BT73">
        <v>0</v>
      </c>
      <c r="BU73" s="66">
        <f t="shared" si="41"/>
        <v>0</v>
      </c>
      <c r="BV73">
        <v>0</v>
      </c>
      <c r="BW73">
        <v>0</v>
      </c>
      <c r="BX73" s="66">
        <f t="shared" si="33"/>
        <v>0</v>
      </c>
      <c r="BY73">
        <v>0</v>
      </c>
      <c r="BZ73">
        <f t="shared" si="34"/>
        <v>0</v>
      </c>
      <c r="CA73">
        <v>0</v>
      </c>
      <c r="CB73">
        <v>0</v>
      </c>
      <c r="CC73">
        <v>2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f t="shared" si="39"/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1</v>
      </c>
      <c r="CY73">
        <v>0</v>
      </c>
      <c r="DA73" s="1"/>
      <c r="DB73" s="66">
        <f t="shared" si="35"/>
        <v>0</v>
      </c>
      <c r="DC73" t="s">
        <v>1</v>
      </c>
      <c r="DD73">
        <v>0</v>
      </c>
      <c r="DE73" s="1">
        <v>43869</v>
      </c>
      <c r="DF73">
        <v>5</v>
      </c>
      <c r="DG73" s="1">
        <v>43865</v>
      </c>
      <c r="DH73">
        <v>12.6</v>
      </c>
      <c r="DI73" s="1">
        <v>8</v>
      </c>
      <c r="DJ73">
        <v>0.6</v>
      </c>
      <c r="DK73" s="66">
        <v>321</v>
      </c>
      <c r="DL73">
        <v>3.4</v>
      </c>
      <c r="DM73" s="1">
        <v>95</v>
      </c>
      <c r="DN73">
        <v>325</v>
      </c>
      <c r="DP73">
        <v>350</v>
      </c>
      <c r="DQ73">
        <v>325</v>
      </c>
      <c r="DR73">
        <v>56</v>
      </c>
      <c r="DS73">
        <v>2.5</v>
      </c>
      <c r="DT73">
        <v>198</v>
      </c>
      <c r="DU73">
        <v>82</v>
      </c>
      <c r="DV73">
        <v>5</v>
      </c>
      <c r="DW73" s="1">
        <v>43866</v>
      </c>
      <c r="DX73" s="62">
        <v>8.9</v>
      </c>
      <c r="DY73" s="62">
        <v>4.8</v>
      </c>
      <c r="DZ73">
        <v>0</v>
      </c>
      <c r="EA73">
        <v>9</v>
      </c>
      <c r="EB73">
        <v>0</v>
      </c>
      <c r="EC73">
        <v>0.8</v>
      </c>
      <c r="ED73">
        <f>EF73</f>
        <v>0.8</v>
      </c>
      <c r="EE73">
        <v>0</v>
      </c>
      <c r="EF73">
        <v>0.8</v>
      </c>
      <c r="EG73">
        <v>0</v>
      </c>
      <c r="EH73">
        <v>1</v>
      </c>
      <c r="EI73" s="62">
        <v>1</v>
      </c>
      <c r="EJ73">
        <v>1</v>
      </c>
      <c r="EK73">
        <v>0</v>
      </c>
      <c r="EL73">
        <f t="shared" si="36"/>
        <v>0</v>
      </c>
      <c r="EM73">
        <v>1</v>
      </c>
      <c r="EN73">
        <v>0</v>
      </c>
      <c r="EO73">
        <v>0.1</v>
      </c>
      <c r="ER73">
        <v>21</v>
      </c>
      <c r="ES73">
        <v>22</v>
      </c>
      <c r="ET73">
        <v>20</v>
      </c>
      <c r="EU73">
        <v>20</v>
      </c>
      <c r="EV73">
        <v>11</v>
      </c>
      <c r="EW73">
        <v>71</v>
      </c>
      <c r="EX73">
        <v>7</v>
      </c>
      <c r="EY73">
        <v>3</v>
      </c>
      <c r="FA73">
        <v>7.36</v>
      </c>
      <c r="FB73">
        <v>0</v>
      </c>
      <c r="FF73">
        <v>0</v>
      </c>
      <c r="FG73">
        <v>0</v>
      </c>
      <c r="FI73"/>
      <c r="FK73">
        <v>0</v>
      </c>
      <c r="FL73">
        <v>0</v>
      </c>
      <c r="FO73">
        <v>0</v>
      </c>
      <c r="FQ73" s="22">
        <v>43865</v>
      </c>
      <c r="FR73" s="22" t="s">
        <v>231</v>
      </c>
      <c r="FS73" s="15">
        <v>1</v>
      </c>
      <c r="FT73" s="15">
        <v>0</v>
      </c>
      <c r="FU73" s="15">
        <v>1</v>
      </c>
      <c r="FV73" s="15">
        <v>0</v>
      </c>
      <c r="FW73" s="15">
        <v>0</v>
      </c>
      <c r="FX73" s="15">
        <v>0</v>
      </c>
      <c r="FY73" s="15">
        <v>0</v>
      </c>
      <c r="FZ73" s="15">
        <v>0</v>
      </c>
      <c r="GA73" s="15">
        <v>0</v>
      </c>
      <c r="GB73" s="15">
        <v>0</v>
      </c>
      <c r="GC73" s="15">
        <v>1</v>
      </c>
      <c r="GD73" s="15">
        <v>0</v>
      </c>
      <c r="GE73" s="15">
        <v>0</v>
      </c>
      <c r="GF73" s="15">
        <v>0</v>
      </c>
      <c r="GG73" s="15">
        <v>0</v>
      </c>
      <c r="GH73" s="15">
        <v>0</v>
      </c>
      <c r="GI73" s="15">
        <v>1</v>
      </c>
      <c r="GJ73" s="15">
        <v>0</v>
      </c>
      <c r="GK73" s="15">
        <v>0</v>
      </c>
      <c r="GL73" s="15">
        <v>1</v>
      </c>
      <c r="GM73" s="15">
        <v>0</v>
      </c>
      <c r="GN73" s="15">
        <v>0</v>
      </c>
      <c r="GO73" s="15">
        <v>0</v>
      </c>
      <c r="GP73" s="15">
        <v>0</v>
      </c>
      <c r="GQ73" s="15">
        <v>0</v>
      </c>
      <c r="GR73" s="15">
        <v>0</v>
      </c>
      <c r="GS73" s="15">
        <v>0</v>
      </c>
      <c r="GT73" s="15">
        <v>0</v>
      </c>
      <c r="GU73" s="15">
        <v>1</v>
      </c>
      <c r="GV73" s="15">
        <v>0</v>
      </c>
      <c r="GW73" s="15">
        <v>0</v>
      </c>
      <c r="GX73" s="15">
        <v>0</v>
      </c>
      <c r="GY73" s="15">
        <v>0</v>
      </c>
      <c r="GZ73" s="15">
        <v>0</v>
      </c>
      <c r="HA73" s="15">
        <v>0</v>
      </c>
      <c r="HB73" s="15">
        <v>1</v>
      </c>
      <c r="HC73" s="15">
        <v>0</v>
      </c>
      <c r="HD73" s="15">
        <v>0</v>
      </c>
      <c r="HE73" s="15">
        <v>0</v>
      </c>
      <c r="HF73" s="15">
        <v>0</v>
      </c>
      <c r="HG73" s="15">
        <v>0</v>
      </c>
      <c r="HH73" s="15">
        <v>0</v>
      </c>
      <c r="HI73" s="15">
        <v>0</v>
      </c>
      <c r="HJ73" s="15">
        <v>0</v>
      </c>
      <c r="HK73" s="15">
        <v>0</v>
      </c>
      <c r="HL73" s="15">
        <v>0</v>
      </c>
      <c r="HM73" s="15">
        <v>0</v>
      </c>
      <c r="HN73" s="15">
        <v>0</v>
      </c>
      <c r="HO73" s="15">
        <v>1</v>
      </c>
      <c r="HP73" s="15">
        <v>0</v>
      </c>
      <c r="HQ73" s="15">
        <v>0</v>
      </c>
      <c r="HR73" s="15">
        <v>0</v>
      </c>
      <c r="HS73" s="15">
        <v>0</v>
      </c>
      <c r="HT73" s="15">
        <v>0</v>
      </c>
      <c r="HU73" s="15">
        <v>0</v>
      </c>
      <c r="HV73" s="15">
        <v>0</v>
      </c>
      <c r="HW73" s="15">
        <v>0</v>
      </c>
      <c r="HX73" s="15">
        <v>0</v>
      </c>
      <c r="HY73" s="15"/>
      <c r="HZ73" s="15"/>
      <c r="IA73" s="15"/>
      <c r="IB73" s="15"/>
      <c r="IC73" s="15"/>
      <c r="ID73" s="15"/>
      <c r="IE73" s="15"/>
      <c r="IF73" s="15"/>
      <c r="IG73" s="15"/>
      <c r="IH73" s="15"/>
      <c r="II73" s="15"/>
      <c r="IJ73" s="15"/>
      <c r="IK73" s="15"/>
      <c r="IL73" s="15"/>
      <c r="IM73" s="15"/>
      <c r="IN73" s="15"/>
      <c r="IO73" s="15"/>
      <c r="IP73" s="15"/>
      <c r="IQ73" s="15"/>
      <c r="IR73" s="15"/>
      <c r="IS73" s="15"/>
      <c r="IT73" s="15"/>
      <c r="IU73" s="15"/>
      <c r="IV73" s="15"/>
      <c r="IW73" s="15"/>
      <c r="IX73" s="15"/>
      <c r="IY73" s="15"/>
      <c r="IZ73" s="15"/>
      <c r="JA73" s="15"/>
      <c r="JB73" s="15"/>
      <c r="JC73" s="15"/>
      <c r="JD73" s="15"/>
      <c r="JE73" s="15"/>
      <c r="JF73" s="15"/>
      <c r="JG73" s="15"/>
      <c r="JH73" s="15"/>
      <c r="JI73" s="15"/>
      <c r="JJ73" s="15"/>
      <c r="JK73" s="15"/>
      <c r="JL73" s="15"/>
      <c r="JM73" s="15"/>
      <c r="JN73" s="15"/>
      <c r="JO73" s="15"/>
      <c r="JP73" s="15"/>
      <c r="JQ73" s="15"/>
      <c r="JR73" s="15"/>
      <c r="JS73" s="15"/>
      <c r="JT73" s="15"/>
      <c r="JU73" s="15"/>
      <c r="JV73" s="15"/>
      <c r="JW73" s="15"/>
      <c r="JX73" s="15"/>
      <c r="JY73" s="15"/>
      <c r="JZ73" s="15"/>
      <c r="KA73" s="15"/>
      <c r="KB73" s="15"/>
      <c r="KC73" s="15"/>
      <c r="KD73" s="15"/>
      <c r="KE73" s="15"/>
      <c r="KF73" s="15"/>
      <c r="KI73">
        <v>1</v>
      </c>
      <c r="KJ73">
        <v>0</v>
      </c>
      <c r="KK73">
        <v>1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1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1</v>
      </c>
      <c r="KZ73">
        <v>0</v>
      </c>
      <c r="LA73">
        <v>0</v>
      </c>
      <c r="LB73">
        <v>1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1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1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1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f t="shared" si="37"/>
        <v>0</v>
      </c>
      <c r="MR73">
        <f t="shared" si="38"/>
        <v>0</v>
      </c>
    </row>
    <row r="74" spans="1:358" s="39" customFormat="1" ht="18" x14ac:dyDescent="0.25">
      <c r="A74" t="s">
        <v>466</v>
      </c>
      <c r="B74" s="40">
        <v>58</v>
      </c>
      <c r="C74" s="40">
        <v>0</v>
      </c>
      <c r="D74" s="40">
        <v>0</v>
      </c>
      <c r="E74" s="40"/>
      <c r="F74" s="55">
        <v>3</v>
      </c>
      <c r="G74" s="55"/>
      <c r="H74" s="57">
        <v>0</v>
      </c>
      <c r="I74" s="57">
        <v>0</v>
      </c>
      <c r="J74" s="57"/>
      <c r="K74" s="40"/>
      <c r="L74" s="40"/>
      <c r="M74" s="40"/>
      <c r="N74" s="40">
        <v>0</v>
      </c>
      <c r="O74" s="42">
        <v>43117</v>
      </c>
      <c r="P74" s="64">
        <f t="shared" si="32"/>
        <v>3</v>
      </c>
      <c r="Q74" s="39">
        <v>1</v>
      </c>
      <c r="R74" s="39">
        <v>1</v>
      </c>
      <c r="S74" s="39">
        <v>0</v>
      </c>
      <c r="T74" s="39">
        <v>78</v>
      </c>
      <c r="U74" s="39">
        <v>1</v>
      </c>
      <c r="V74" s="39">
        <v>1</v>
      </c>
      <c r="W74" s="39">
        <v>1</v>
      </c>
      <c r="X74" s="39">
        <v>0</v>
      </c>
      <c r="Y74" s="39">
        <v>0</v>
      </c>
      <c r="Z74" s="39">
        <v>1</v>
      </c>
      <c r="AA74" s="39">
        <v>1</v>
      </c>
      <c r="AB74" s="39">
        <v>0</v>
      </c>
      <c r="AC74" s="39">
        <v>0</v>
      </c>
      <c r="AD74" s="39">
        <v>0</v>
      </c>
      <c r="AE74" s="39">
        <v>0</v>
      </c>
      <c r="AF74" s="39">
        <v>1</v>
      </c>
      <c r="AG74" s="39">
        <v>0</v>
      </c>
      <c r="AH74" s="39">
        <v>0</v>
      </c>
      <c r="AI74" s="39">
        <v>0</v>
      </c>
      <c r="AJ74" s="39">
        <v>0</v>
      </c>
      <c r="AK74" s="39">
        <v>0</v>
      </c>
      <c r="AL74" s="39">
        <v>0</v>
      </c>
      <c r="AM74" s="39">
        <v>0</v>
      </c>
      <c r="AN74" s="39">
        <v>51</v>
      </c>
      <c r="AO74" s="39">
        <v>176</v>
      </c>
      <c r="AP74" s="39">
        <v>16.5</v>
      </c>
      <c r="AQ74" s="39">
        <v>39</v>
      </c>
      <c r="AR74" s="39">
        <v>120</v>
      </c>
      <c r="AS74" s="39">
        <v>64</v>
      </c>
      <c r="AT74" s="39">
        <v>2</v>
      </c>
      <c r="AU74">
        <v>0</v>
      </c>
      <c r="AV74" s="39">
        <v>110</v>
      </c>
      <c r="AW74" s="43">
        <v>43114</v>
      </c>
      <c r="AX74" s="43">
        <v>43114</v>
      </c>
      <c r="AY74" s="39">
        <v>0</v>
      </c>
      <c r="AZ74" s="43">
        <v>43114</v>
      </c>
      <c r="BA74" s="39">
        <v>1</v>
      </c>
      <c r="BB74" s="39">
        <v>0</v>
      </c>
      <c r="BC74" s="39">
        <v>1</v>
      </c>
      <c r="BD74" s="39">
        <v>0</v>
      </c>
      <c r="BE74" s="39">
        <v>0</v>
      </c>
      <c r="BF74" s="39">
        <v>0</v>
      </c>
      <c r="BG74" s="39">
        <v>0</v>
      </c>
      <c r="BH74" s="39">
        <v>0</v>
      </c>
      <c r="BI74" s="39">
        <v>1</v>
      </c>
      <c r="BJ74" s="78">
        <v>0</v>
      </c>
      <c r="BK74" s="78">
        <v>0</v>
      </c>
      <c r="BL74" s="78">
        <v>0</v>
      </c>
      <c r="BM74" s="66">
        <v>1</v>
      </c>
      <c r="BN74" s="78">
        <v>0</v>
      </c>
      <c r="BO74" s="78">
        <v>1</v>
      </c>
      <c r="BP74" s="78">
        <v>2</v>
      </c>
      <c r="BQ74" s="78">
        <v>1</v>
      </c>
      <c r="BR74" s="78">
        <v>0</v>
      </c>
      <c r="BS74" s="78">
        <v>0</v>
      </c>
      <c r="BT74" s="78">
        <v>0</v>
      </c>
      <c r="BU74" s="78">
        <v>1</v>
      </c>
      <c r="BV74" s="78">
        <v>0</v>
      </c>
      <c r="BW74" s="78">
        <v>1</v>
      </c>
      <c r="BX74" s="66">
        <f t="shared" si="33"/>
        <v>2</v>
      </c>
      <c r="BY74" s="78">
        <v>0</v>
      </c>
      <c r="BZ74">
        <v>1</v>
      </c>
      <c r="CA74" s="39">
        <v>0</v>
      </c>
      <c r="CB74" s="39">
        <v>0</v>
      </c>
      <c r="CD74" s="39">
        <v>0</v>
      </c>
      <c r="CE74" s="39">
        <v>0</v>
      </c>
      <c r="CF74" s="39">
        <v>0</v>
      </c>
      <c r="CG74" s="39">
        <v>0</v>
      </c>
      <c r="CH74" s="39">
        <v>0</v>
      </c>
      <c r="CI74" s="39">
        <v>0</v>
      </c>
      <c r="CJ74" s="39">
        <v>0</v>
      </c>
      <c r="CK74" s="39">
        <v>0</v>
      </c>
      <c r="CL74" s="39">
        <v>0</v>
      </c>
      <c r="CM74" s="39">
        <v>0</v>
      </c>
      <c r="CN74" s="39">
        <v>0</v>
      </c>
      <c r="CO74">
        <f t="shared" si="39"/>
        <v>0</v>
      </c>
      <c r="CP74" s="39">
        <v>0</v>
      </c>
      <c r="CQ74" s="39">
        <v>0</v>
      </c>
      <c r="CR74" s="39">
        <v>0</v>
      </c>
      <c r="CS74" s="39">
        <v>0</v>
      </c>
      <c r="CT74" s="39">
        <v>0</v>
      </c>
      <c r="CU74" s="39">
        <v>0</v>
      </c>
      <c r="CV74" s="39">
        <v>0</v>
      </c>
      <c r="CW74" s="31"/>
      <c r="CY74">
        <v>0</v>
      </c>
      <c r="DA74" s="43">
        <v>43115</v>
      </c>
      <c r="DB74" s="66">
        <f t="shared" si="35"/>
        <v>1</v>
      </c>
      <c r="DC74" s="39" t="s">
        <v>1</v>
      </c>
      <c r="DD74" s="39">
        <v>0</v>
      </c>
      <c r="DE74" s="43">
        <v>43119</v>
      </c>
      <c r="DF74" s="39">
        <v>5</v>
      </c>
      <c r="DG74" s="43">
        <v>43115</v>
      </c>
      <c r="DH74" s="39">
        <v>12</v>
      </c>
      <c r="DI74" s="39">
        <v>6</v>
      </c>
      <c r="DJ74" s="39">
        <v>0.3</v>
      </c>
      <c r="DK74" s="80">
        <v>124</v>
      </c>
      <c r="DL74" s="39">
        <v>4</v>
      </c>
      <c r="DM74" s="39">
        <v>58</v>
      </c>
      <c r="DO74" s="39">
        <v>1</v>
      </c>
      <c r="DP74" s="39">
        <v>120</v>
      </c>
      <c r="DR74" s="39">
        <v>54</v>
      </c>
      <c r="DW74" s="43">
        <v>43114</v>
      </c>
      <c r="DX74" s="39">
        <v>6.6</v>
      </c>
      <c r="DY74" s="39">
        <v>5.0999999999999996</v>
      </c>
      <c r="DZ74">
        <v>0</v>
      </c>
      <c r="EA74" s="39">
        <v>6.6</v>
      </c>
      <c r="EB74">
        <v>0</v>
      </c>
      <c r="EC74" s="39">
        <v>1.1000000000000001</v>
      </c>
      <c r="ED74" s="39">
        <v>0.8</v>
      </c>
      <c r="EE74">
        <v>0</v>
      </c>
      <c r="EF74" s="39">
        <v>1.1000000000000001</v>
      </c>
      <c r="EG74">
        <v>0</v>
      </c>
      <c r="EH74" s="39">
        <v>226</v>
      </c>
      <c r="EI74" s="62">
        <v>0.52212389380530999</v>
      </c>
      <c r="EJ74" s="39">
        <v>118</v>
      </c>
      <c r="EK74">
        <v>0</v>
      </c>
      <c r="EL74">
        <f t="shared" si="36"/>
        <v>-108</v>
      </c>
      <c r="EM74" s="39">
        <v>226</v>
      </c>
      <c r="EN74" s="39">
        <v>1</v>
      </c>
      <c r="EO74" s="39">
        <v>0.41</v>
      </c>
      <c r="ER74" s="39">
        <v>26</v>
      </c>
      <c r="ET74" s="39">
        <v>20</v>
      </c>
      <c r="EU74" s="39">
        <v>6</v>
      </c>
      <c r="EV74" s="39">
        <v>147</v>
      </c>
      <c r="EW74" s="39">
        <v>282</v>
      </c>
      <c r="EX74" s="39">
        <v>21</v>
      </c>
      <c r="EY74" s="39">
        <v>13</v>
      </c>
      <c r="FC74" s="39">
        <v>1</v>
      </c>
      <c r="FD74" s="39">
        <v>0</v>
      </c>
      <c r="FF74" s="39">
        <v>1</v>
      </c>
      <c r="FG74">
        <v>0</v>
      </c>
      <c r="FK74">
        <v>0</v>
      </c>
      <c r="FL74">
        <v>0</v>
      </c>
      <c r="FM74"/>
      <c r="FN74"/>
      <c r="FO74">
        <v>0</v>
      </c>
      <c r="FQ74" s="44">
        <v>43114</v>
      </c>
      <c r="FR74" s="44" t="s">
        <v>230</v>
      </c>
      <c r="FS74" s="45">
        <v>1</v>
      </c>
      <c r="FT74" s="45">
        <v>0</v>
      </c>
      <c r="FU74" s="45">
        <v>1</v>
      </c>
      <c r="FV74" s="45">
        <v>0</v>
      </c>
      <c r="FW74" s="45">
        <v>1</v>
      </c>
      <c r="FX74" s="45">
        <v>1</v>
      </c>
      <c r="FY74" s="45">
        <v>1</v>
      </c>
      <c r="FZ74" s="45">
        <v>1</v>
      </c>
      <c r="GA74" s="45">
        <v>1</v>
      </c>
      <c r="GB74" s="45">
        <v>1</v>
      </c>
      <c r="GC74" s="45">
        <v>0</v>
      </c>
      <c r="GD74" s="45">
        <v>1</v>
      </c>
      <c r="GE74" s="45">
        <v>0</v>
      </c>
      <c r="GF74" s="45">
        <v>0</v>
      </c>
      <c r="GG74" s="45">
        <v>0</v>
      </c>
      <c r="GH74" s="45">
        <v>0</v>
      </c>
      <c r="GI74" s="45">
        <v>1</v>
      </c>
      <c r="GJ74" s="45">
        <v>0</v>
      </c>
      <c r="GK74" s="45">
        <v>0</v>
      </c>
      <c r="GL74" s="45">
        <v>1</v>
      </c>
      <c r="GM74" s="45">
        <v>0</v>
      </c>
      <c r="GN74" s="45">
        <v>0</v>
      </c>
      <c r="GO74" s="45">
        <v>0</v>
      </c>
      <c r="GP74" s="45">
        <v>0</v>
      </c>
      <c r="GQ74" s="45">
        <v>0</v>
      </c>
      <c r="GR74" s="45">
        <v>0</v>
      </c>
      <c r="GS74" s="45">
        <v>0</v>
      </c>
      <c r="GT74" s="45">
        <v>0</v>
      </c>
      <c r="GU74" s="45">
        <v>0</v>
      </c>
      <c r="GV74" s="45">
        <v>1</v>
      </c>
      <c r="GW74" s="45">
        <v>1</v>
      </c>
      <c r="GX74" s="45" t="s">
        <v>232</v>
      </c>
      <c r="GY74" s="15">
        <v>0</v>
      </c>
      <c r="GZ74" s="15">
        <v>0</v>
      </c>
      <c r="HA74" s="45">
        <v>0</v>
      </c>
      <c r="HB74" s="45">
        <v>0</v>
      </c>
      <c r="HC74" s="45">
        <v>1</v>
      </c>
      <c r="HD74" s="45" t="s">
        <v>232</v>
      </c>
      <c r="HE74" s="15">
        <v>0</v>
      </c>
      <c r="HF74" s="15">
        <v>0</v>
      </c>
      <c r="HG74" s="45">
        <v>0</v>
      </c>
      <c r="HH74" s="45">
        <v>0</v>
      </c>
      <c r="HI74" s="45">
        <v>1</v>
      </c>
      <c r="HJ74" s="45">
        <v>0</v>
      </c>
      <c r="HK74" s="45">
        <v>0</v>
      </c>
      <c r="HL74" s="45">
        <v>0</v>
      </c>
      <c r="HM74" s="45">
        <v>0</v>
      </c>
      <c r="HN74" s="45">
        <v>0</v>
      </c>
      <c r="HO74" s="45">
        <v>1</v>
      </c>
      <c r="HP74" s="45">
        <v>0</v>
      </c>
      <c r="HQ74" s="45">
        <v>0</v>
      </c>
      <c r="HR74" s="45">
        <v>0</v>
      </c>
      <c r="HS74" s="45">
        <v>0</v>
      </c>
      <c r="HT74" s="45">
        <v>1</v>
      </c>
      <c r="HU74" s="45">
        <v>1</v>
      </c>
      <c r="HV74" s="45">
        <v>0</v>
      </c>
      <c r="HW74" s="45">
        <v>1</v>
      </c>
      <c r="HX74" s="45">
        <v>0</v>
      </c>
      <c r="HY74" s="44">
        <v>43116</v>
      </c>
      <c r="HZ74" s="45" t="s">
        <v>231</v>
      </c>
      <c r="IA74" s="45">
        <v>1</v>
      </c>
      <c r="IB74" s="45">
        <v>1</v>
      </c>
      <c r="IC74" s="45">
        <v>1</v>
      </c>
      <c r="ID74" s="45">
        <v>0</v>
      </c>
      <c r="IE74" s="45">
        <v>1</v>
      </c>
      <c r="IF74" s="45">
        <v>1</v>
      </c>
      <c r="IG74" s="45">
        <v>1</v>
      </c>
      <c r="IH74" s="45">
        <v>1</v>
      </c>
      <c r="II74" s="45">
        <v>1</v>
      </c>
      <c r="IJ74" s="45">
        <v>1</v>
      </c>
      <c r="IK74" s="45">
        <v>0</v>
      </c>
      <c r="IL74" s="45">
        <v>1</v>
      </c>
      <c r="IM74" s="45">
        <v>0</v>
      </c>
      <c r="IN74" s="45">
        <v>0</v>
      </c>
      <c r="IO74" s="45">
        <v>0</v>
      </c>
      <c r="IP74" s="45">
        <v>0</v>
      </c>
      <c r="IQ74" s="45">
        <v>1</v>
      </c>
      <c r="IR74" s="45">
        <v>0</v>
      </c>
      <c r="IS74" s="45">
        <v>0</v>
      </c>
      <c r="IT74" s="45">
        <v>1</v>
      </c>
      <c r="IU74" s="45">
        <v>0</v>
      </c>
      <c r="IV74" s="45">
        <v>0</v>
      </c>
      <c r="IW74" s="45">
        <v>0</v>
      </c>
      <c r="IX74" s="45">
        <v>0</v>
      </c>
      <c r="IY74" s="45">
        <v>0</v>
      </c>
      <c r="IZ74" s="45">
        <v>0</v>
      </c>
      <c r="JA74" s="45">
        <v>0</v>
      </c>
      <c r="JB74" s="45">
        <v>0</v>
      </c>
      <c r="JC74" s="45">
        <v>0</v>
      </c>
      <c r="JD74" s="45">
        <v>1</v>
      </c>
      <c r="JE74" s="45">
        <v>1</v>
      </c>
      <c r="JF74" s="45" t="s">
        <v>232</v>
      </c>
      <c r="JG74" s="15">
        <v>0</v>
      </c>
      <c r="JH74" s="15">
        <v>0</v>
      </c>
      <c r="JI74" s="45">
        <v>0</v>
      </c>
      <c r="JJ74" s="45">
        <v>0</v>
      </c>
      <c r="JK74" s="45">
        <v>1</v>
      </c>
      <c r="JL74" s="45" t="s">
        <v>232</v>
      </c>
      <c r="JM74" s="15">
        <v>0</v>
      </c>
      <c r="JN74" s="15">
        <v>0</v>
      </c>
      <c r="JO74" s="45">
        <v>0</v>
      </c>
      <c r="JP74" s="45">
        <v>0</v>
      </c>
      <c r="JQ74" s="45">
        <v>1</v>
      </c>
      <c r="JR74" s="45">
        <v>0</v>
      </c>
      <c r="JS74" s="45">
        <v>0</v>
      </c>
      <c r="JT74" s="45">
        <v>0</v>
      </c>
      <c r="JU74" s="45">
        <v>0</v>
      </c>
      <c r="JV74" s="45">
        <v>0</v>
      </c>
      <c r="JW74" s="45">
        <v>1</v>
      </c>
      <c r="JX74" s="45">
        <v>0</v>
      </c>
      <c r="JY74" s="45">
        <v>0</v>
      </c>
      <c r="JZ74" s="45">
        <v>0</v>
      </c>
      <c r="KA74" s="45">
        <v>0</v>
      </c>
      <c r="KB74" s="45">
        <v>1</v>
      </c>
      <c r="KC74" s="45">
        <v>1</v>
      </c>
      <c r="KD74" s="45">
        <v>0</v>
      </c>
      <c r="KE74" s="45">
        <v>1</v>
      </c>
      <c r="KF74" s="45">
        <v>0</v>
      </c>
      <c r="KG74"/>
      <c r="KH74"/>
      <c r="KI74">
        <v>1</v>
      </c>
      <c r="KJ74">
        <v>1</v>
      </c>
      <c r="KK74">
        <v>1</v>
      </c>
      <c r="KL74">
        <v>0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0</v>
      </c>
      <c r="KT74">
        <v>1</v>
      </c>
      <c r="KU74">
        <v>0</v>
      </c>
      <c r="KV74">
        <v>0</v>
      </c>
      <c r="KW74">
        <v>0</v>
      </c>
      <c r="KX74">
        <v>0</v>
      </c>
      <c r="KY74">
        <v>1</v>
      </c>
      <c r="KZ74">
        <v>0</v>
      </c>
      <c r="LA74">
        <v>0</v>
      </c>
      <c r="LB74">
        <v>1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1</v>
      </c>
      <c r="LM74">
        <v>1</v>
      </c>
      <c r="LN74"/>
      <c r="LO74">
        <v>0</v>
      </c>
      <c r="LP74">
        <v>0</v>
      </c>
      <c r="LQ74">
        <v>0</v>
      </c>
      <c r="LR74">
        <v>0</v>
      </c>
      <c r="LS74">
        <v>1</v>
      </c>
      <c r="LT74"/>
      <c r="LU74">
        <v>0</v>
      </c>
      <c r="LV74">
        <v>0</v>
      </c>
      <c r="LW74">
        <v>0</v>
      </c>
      <c r="LX74">
        <v>0</v>
      </c>
      <c r="LY74">
        <v>1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1</v>
      </c>
      <c r="MF74">
        <v>0</v>
      </c>
      <c r="MG74">
        <v>0</v>
      </c>
      <c r="MH74">
        <v>0</v>
      </c>
      <c r="MI74">
        <v>0</v>
      </c>
      <c r="MJ74">
        <v>1</v>
      </c>
      <c r="MK74">
        <v>1</v>
      </c>
      <c r="ML74">
        <v>0</v>
      </c>
      <c r="MM74">
        <v>1</v>
      </c>
      <c r="MN74">
        <v>0</v>
      </c>
      <c r="MO74">
        <v>0</v>
      </c>
      <c r="MP74">
        <v>0</v>
      </c>
      <c r="MQ74">
        <f t="shared" si="37"/>
        <v>0</v>
      </c>
      <c r="MR74">
        <f t="shared" si="38"/>
        <v>0</v>
      </c>
    </row>
    <row r="75" spans="1:358" s="39" customFormat="1" ht="18" x14ac:dyDescent="0.25">
      <c r="A75" t="s">
        <v>467</v>
      </c>
      <c r="B75" s="40">
        <v>34</v>
      </c>
      <c r="C75" s="40">
        <v>0</v>
      </c>
      <c r="D75" s="40">
        <v>0</v>
      </c>
      <c r="E75" s="40"/>
      <c r="F75" s="55">
        <v>2</v>
      </c>
      <c r="G75" s="55"/>
      <c r="H75" s="57">
        <v>0</v>
      </c>
      <c r="I75" s="57">
        <v>0</v>
      </c>
      <c r="J75" s="57"/>
      <c r="K75" s="40"/>
      <c r="L75" s="40"/>
      <c r="M75" s="40"/>
      <c r="N75" s="40">
        <v>0</v>
      </c>
      <c r="O75" s="42">
        <v>42993</v>
      </c>
      <c r="P75" s="64">
        <f t="shared" si="32"/>
        <v>2</v>
      </c>
      <c r="Q75" s="39">
        <v>1</v>
      </c>
      <c r="R75" s="39">
        <v>1</v>
      </c>
      <c r="S75" s="39">
        <v>1</v>
      </c>
      <c r="T75" s="39">
        <v>75</v>
      </c>
      <c r="U75" s="39">
        <v>0</v>
      </c>
      <c r="V75" s="39">
        <v>1</v>
      </c>
      <c r="W75" s="39">
        <v>0</v>
      </c>
      <c r="X75" s="39">
        <v>0</v>
      </c>
      <c r="Y75" s="39">
        <v>0</v>
      </c>
      <c r="Z75" s="39">
        <v>0</v>
      </c>
      <c r="AA75" s="39">
        <v>0</v>
      </c>
      <c r="AB75" s="39">
        <v>0</v>
      </c>
      <c r="AC75" s="39">
        <v>0</v>
      </c>
      <c r="AD75" s="39">
        <v>0</v>
      </c>
      <c r="AE75" s="39">
        <v>0</v>
      </c>
      <c r="AF75" s="39">
        <v>0</v>
      </c>
      <c r="AG75" s="39">
        <v>0</v>
      </c>
      <c r="AH75" s="39">
        <v>0</v>
      </c>
      <c r="AI75" s="39">
        <v>0</v>
      </c>
      <c r="AJ75" s="39">
        <v>0</v>
      </c>
      <c r="AK75" s="39">
        <v>0</v>
      </c>
      <c r="AL75" s="39">
        <v>0</v>
      </c>
      <c r="AM75" s="39">
        <v>0</v>
      </c>
      <c r="AN75" s="39">
        <v>120</v>
      </c>
      <c r="AO75" s="39">
        <v>182</v>
      </c>
      <c r="AP75" s="39">
        <v>36.200000000000003</v>
      </c>
      <c r="AQ75" s="39">
        <v>36</v>
      </c>
      <c r="AR75" s="39">
        <v>113</v>
      </c>
      <c r="AS75" s="39">
        <v>74</v>
      </c>
      <c r="AV75" s="39">
        <v>79</v>
      </c>
      <c r="AW75" s="43">
        <v>42991</v>
      </c>
      <c r="AX75" s="43">
        <v>42991</v>
      </c>
      <c r="AY75" s="39">
        <v>0</v>
      </c>
      <c r="AZ75" s="43">
        <v>42990</v>
      </c>
      <c r="BA75" s="39">
        <v>1</v>
      </c>
      <c r="BB75" s="39">
        <v>0</v>
      </c>
      <c r="BC75" s="39">
        <v>0</v>
      </c>
      <c r="BD75" s="39">
        <v>0</v>
      </c>
      <c r="BE75" s="39">
        <v>0</v>
      </c>
      <c r="BF75" s="39">
        <v>0</v>
      </c>
      <c r="BG75" s="39">
        <v>0</v>
      </c>
      <c r="BH75" s="39">
        <v>0</v>
      </c>
      <c r="BI75" s="39">
        <v>0</v>
      </c>
      <c r="BJ75" s="78">
        <v>0</v>
      </c>
      <c r="BK75" s="78">
        <v>0</v>
      </c>
      <c r="BL75" s="78">
        <v>0</v>
      </c>
      <c r="BM75" s="66">
        <v>0</v>
      </c>
      <c r="BN75" s="78">
        <v>0</v>
      </c>
      <c r="BO75" s="78">
        <v>0</v>
      </c>
      <c r="BP75" s="78">
        <v>0</v>
      </c>
      <c r="BQ75">
        <v>0</v>
      </c>
      <c r="BR75" s="78">
        <v>0</v>
      </c>
      <c r="BS75" s="78">
        <v>0</v>
      </c>
      <c r="BT75" s="78">
        <v>0</v>
      </c>
      <c r="BU75" s="78">
        <v>0</v>
      </c>
      <c r="BV75" s="78">
        <v>0</v>
      </c>
      <c r="BW75" s="78">
        <v>0</v>
      </c>
      <c r="BX75" s="66">
        <f t="shared" si="33"/>
        <v>0</v>
      </c>
      <c r="BY75">
        <v>0</v>
      </c>
      <c r="BZ75">
        <f t="shared" si="34"/>
        <v>0</v>
      </c>
      <c r="CA75" s="39">
        <v>0</v>
      </c>
      <c r="CD75" s="39">
        <v>0</v>
      </c>
      <c r="CE75" s="39">
        <v>0</v>
      </c>
      <c r="CF75" s="39">
        <v>0</v>
      </c>
      <c r="CG75" s="39">
        <v>0</v>
      </c>
      <c r="CH75" s="39">
        <v>0</v>
      </c>
      <c r="CI75" s="39">
        <v>0</v>
      </c>
      <c r="CJ75" s="39">
        <v>0</v>
      </c>
      <c r="CK75" s="39">
        <v>0</v>
      </c>
      <c r="CL75" s="39">
        <v>0</v>
      </c>
      <c r="CM75" s="39">
        <v>0</v>
      </c>
      <c r="CN75" s="39">
        <v>0</v>
      </c>
      <c r="CO75">
        <f t="shared" si="39"/>
        <v>0</v>
      </c>
      <c r="CP75" s="39">
        <v>0</v>
      </c>
      <c r="CQ75" s="39">
        <v>0</v>
      </c>
      <c r="CR75" s="39">
        <v>0</v>
      </c>
      <c r="CS75" s="39">
        <v>0</v>
      </c>
      <c r="CT75" s="39">
        <v>0</v>
      </c>
      <c r="CW75" s="31"/>
      <c r="CY75">
        <v>0</v>
      </c>
      <c r="DA75" s="43">
        <v>42991</v>
      </c>
      <c r="DB75" s="66">
        <f t="shared" si="35"/>
        <v>1</v>
      </c>
      <c r="DC75" s="39" t="s">
        <v>1</v>
      </c>
      <c r="DD75" s="39">
        <v>0</v>
      </c>
      <c r="DE75" s="43">
        <v>42995</v>
      </c>
      <c r="DF75" s="39">
        <v>5</v>
      </c>
      <c r="DG75" s="43">
        <v>42991</v>
      </c>
      <c r="DH75" s="39">
        <v>13</v>
      </c>
      <c r="DI75" s="39">
        <v>6.9</v>
      </c>
      <c r="DJ75" s="39">
        <v>1.9</v>
      </c>
      <c r="DK75" s="80">
        <v>236</v>
      </c>
      <c r="DL75" s="39">
        <v>5</v>
      </c>
      <c r="DM75" s="39">
        <v>86</v>
      </c>
      <c r="DO75" s="39">
        <v>2</v>
      </c>
      <c r="DP75" s="39">
        <v>236</v>
      </c>
      <c r="DR75" s="39">
        <v>83</v>
      </c>
      <c r="DS75" s="39">
        <v>4.2</v>
      </c>
      <c r="DW75" s="43">
        <v>42990</v>
      </c>
      <c r="DX75" s="39">
        <v>10.3</v>
      </c>
      <c r="DY75" s="39">
        <v>9.5</v>
      </c>
      <c r="DZ75">
        <v>0</v>
      </c>
      <c r="EA75" s="39">
        <v>9.5</v>
      </c>
      <c r="EB75">
        <v>0</v>
      </c>
      <c r="EC75" s="39">
        <v>1.18</v>
      </c>
      <c r="ED75">
        <f>EF75</f>
        <v>1.18</v>
      </c>
      <c r="EE75">
        <v>0</v>
      </c>
      <c r="EF75" s="39">
        <v>1.18</v>
      </c>
      <c r="EG75">
        <v>0</v>
      </c>
      <c r="EH75" s="39">
        <v>47</v>
      </c>
      <c r="EI75" s="62">
        <v>2.7234042553191502</v>
      </c>
      <c r="EJ75" s="39">
        <v>128</v>
      </c>
      <c r="EK75">
        <v>0</v>
      </c>
      <c r="EL75">
        <f t="shared" si="36"/>
        <v>81</v>
      </c>
      <c r="EM75" s="39">
        <v>128</v>
      </c>
      <c r="EN75">
        <v>0</v>
      </c>
      <c r="EO75" s="39">
        <v>0.05</v>
      </c>
      <c r="ER75" s="39">
        <v>23</v>
      </c>
      <c r="ES75" s="39">
        <v>39</v>
      </c>
      <c r="ET75" s="39">
        <v>25</v>
      </c>
      <c r="EU75" s="39">
        <v>30</v>
      </c>
      <c r="EV75" s="39">
        <v>60</v>
      </c>
      <c r="EW75" s="39">
        <v>99</v>
      </c>
      <c r="EX75" s="39">
        <v>15</v>
      </c>
      <c r="EY75" s="39">
        <v>5</v>
      </c>
      <c r="FC75" s="39">
        <v>1</v>
      </c>
      <c r="FD75" s="39">
        <v>0</v>
      </c>
      <c r="FF75" s="39">
        <v>1</v>
      </c>
      <c r="FG75">
        <v>0</v>
      </c>
      <c r="FK75">
        <v>0</v>
      </c>
      <c r="FL75">
        <v>0</v>
      </c>
      <c r="FM75"/>
      <c r="FN75"/>
      <c r="FO75">
        <v>0</v>
      </c>
      <c r="FQ75" s="44">
        <v>42990</v>
      </c>
      <c r="FR75" s="44" t="s">
        <v>230</v>
      </c>
      <c r="FS75" s="45">
        <v>1</v>
      </c>
      <c r="FT75" s="45">
        <v>0</v>
      </c>
      <c r="FU75" s="45">
        <v>1</v>
      </c>
      <c r="FV75" s="45">
        <v>1</v>
      </c>
      <c r="FW75" s="45">
        <v>1</v>
      </c>
      <c r="FX75" s="45">
        <v>1</v>
      </c>
      <c r="FY75" s="45">
        <v>1</v>
      </c>
      <c r="FZ75" s="45">
        <v>0</v>
      </c>
      <c r="GA75" s="45">
        <v>0</v>
      </c>
      <c r="GB75" s="45">
        <v>0</v>
      </c>
      <c r="GC75" s="45">
        <v>1</v>
      </c>
      <c r="GD75" s="45">
        <v>1</v>
      </c>
      <c r="GE75" s="45">
        <v>1</v>
      </c>
      <c r="GF75" s="45">
        <v>1</v>
      </c>
      <c r="GG75" s="45">
        <v>0</v>
      </c>
      <c r="GH75" s="45">
        <v>0</v>
      </c>
      <c r="GI75" s="45">
        <v>1</v>
      </c>
      <c r="GJ75" s="45">
        <v>0</v>
      </c>
      <c r="GK75" s="45">
        <v>0</v>
      </c>
      <c r="GL75" s="45">
        <v>1</v>
      </c>
      <c r="GM75" s="45">
        <v>0</v>
      </c>
      <c r="GN75" s="45">
        <v>0</v>
      </c>
      <c r="GO75" s="45">
        <v>1</v>
      </c>
      <c r="GP75" s="45">
        <v>1</v>
      </c>
      <c r="GQ75" s="45">
        <v>0</v>
      </c>
      <c r="GR75" s="45">
        <v>0</v>
      </c>
      <c r="GS75" s="45">
        <v>1</v>
      </c>
      <c r="GT75" s="45">
        <v>0</v>
      </c>
      <c r="GU75" s="45">
        <v>1</v>
      </c>
      <c r="GV75" s="45">
        <v>0</v>
      </c>
      <c r="GW75" s="45">
        <v>0</v>
      </c>
      <c r="GX75" s="45">
        <v>0</v>
      </c>
      <c r="GY75" s="15">
        <v>0</v>
      </c>
      <c r="GZ75" s="15">
        <v>0</v>
      </c>
      <c r="HA75" s="45">
        <v>0</v>
      </c>
      <c r="HB75" s="45">
        <v>1</v>
      </c>
      <c r="HC75" s="45">
        <v>0</v>
      </c>
      <c r="HD75" s="45">
        <v>0</v>
      </c>
      <c r="HE75" s="15">
        <v>0</v>
      </c>
      <c r="HF75" s="15">
        <v>0</v>
      </c>
      <c r="HG75" s="45">
        <v>0</v>
      </c>
      <c r="HH75" s="45">
        <v>0</v>
      </c>
      <c r="HI75" s="45">
        <v>1</v>
      </c>
      <c r="HJ75" s="45">
        <v>1</v>
      </c>
      <c r="HK75" s="45">
        <v>0</v>
      </c>
      <c r="HL75" s="45">
        <v>1</v>
      </c>
      <c r="HM75" s="45">
        <v>0</v>
      </c>
      <c r="HN75" s="45">
        <v>1</v>
      </c>
      <c r="HO75" s="45">
        <v>1</v>
      </c>
      <c r="HP75" s="45">
        <v>0</v>
      </c>
      <c r="HQ75" s="45">
        <v>0</v>
      </c>
      <c r="HR75" s="45">
        <v>0</v>
      </c>
      <c r="HS75" s="45">
        <v>0</v>
      </c>
      <c r="HT75" s="45">
        <v>0</v>
      </c>
      <c r="HU75" s="45">
        <v>0</v>
      </c>
      <c r="HV75" s="45">
        <v>0</v>
      </c>
      <c r="HW75" s="45">
        <v>0</v>
      </c>
      <c r="HX75" s="45">
        <v>0</v>
      </c>
      <c r="HY75" s="44">
        <v>42993</v>
      </c>
      <c r="HZ75" s="45" t="s">
        <v>231</v>
      </c>
      <c r="IA75" s="45">
        <v>1</v>
      </c>
      <c r="IB75" s="45">
        <v>1</v>
      </c>
      <c r="IC75" s="45">
        <v>1</v>
      </c>
      <c r="ID75" s="45">
        <v>0</v>
      </c>
      <c r="IE75" s="45">
        <v>1</v>
      </c>
      <c r="IF75" s="45">
        <v>1</v>
      </c>
      <c r="IG75" s="45">
        <v>1</v>
      </c>
      <c r="IH75" s="45">
        <v>0</v>
      </c>
      <c r="II75" s="45">
        <v>0</v>
      </c>
      <c r="IJ75" s="45">
        <v>0</v>
      </c>
      <c r="IK75" s="45">
        <v>1</v>
      </c>
      <c r="IL75" s="45">
        <v>1</v>
      </c>
      <c r="IM75" s="45">
        <v>1</v>
      </c>
      <c r="IN75" s="45">
        <v>1</v>
      </c>
      <c r="IO75" s="45">
        <v>0</v>
      </c>
      <c r="IP75" s="45">
        <v>0</v>
      </c>
      <c r="IQ75" s="45">
        <v>1</v>
      </c>
      <c r="IR75" s="45">
        <v>0</v>
      </c>
      <c r="IS75" s="45">
        <v>0</v>
      </c>
      <c r="IT75" s="45">
        <v>1</v>
      </c>
      <c r="IU75" s="45">
        <v>0</v>
      </c>
      <c r="IV75" s="45">
        <v>0</v>
      </c>
      <c r="IW75" s="45">
        <v>1</v>
      </c>
      <c r="IX75" s="45">
        <v>1</v>
      </c>
      <c r="IY75" s="45">
        <v>0</v>
      </c>
      <c r="IZ75" s="45">
        <v>0</v>
      </c>
      <c r="JA75" s="45">
        <v>1</v>
      </c>
      <c r="JB75" s="45">
        <v>0</v>
      </c>
      <c r="JC75" s="45">
        <v>1</v>
      </c>
      <c r="JD75" s="45">
        <v>0</v>
      </c>
      <c r="JE75" s="45">
        <v>0</v>
      </c>
      <c r="JF75" s="45">
        <v>0</v>
      </c>
      <c r="JG75" s="15">
        <v>0</v>
      </c>
      <c r="JH75" s="15">
        <v>0</v>
      </c>
      <c r="JI75" s="45">
        <v>0</v>
      </c>
      <c r="JJ75" s="45">
        <v>1</v>
      </c>
      <c r="JK75" s="45">
        <v>0</v>
      </c>
      <c r="JL75" s="45">
        <v>0</v>
      </c>
      <c r="JM75" s="15">
        <v>0</v>
      </c>
      <c r="JN75" s="15">
        <v>0</v>
      </c>
      <c r="JO75" s="45">
        <v>0</v>
      </c>
      <c r="JP75" s="45">
        <v>0</v>
      </c>
      <c r="JQ75" s="45">
        <v>1</v>
      </c>
      <c r="JR75" s="45">
        <v>0</v>
      </c>
      <c r="JS75" s="45">
        <v>0</v>
      </c>
      <c r="JT75" s="45">
        <v>0</v>
      </c>
      <c r="JU75" s="45">
        <v>0</v>
      </c>
      <c r="JV75" s="45">
        <v>0</v>
      </c>
      <c r="JW75" s="45">
        <v>1</v>
      </c>
      <c r="JX75" s="45">
        <v>0</v>
      </c>
      <c r="JY75" s="45">
        <v>0</v>
      </c>
      <c r="JZ75" s="45">
        <v>0</v>
      </c>
      <c r="KA75" s="45">
        <v>0</v>
      </c>
      <c r="KB75" s="45">
        <v>0</v>
      </c>
      <c r="KC75" s="45">
        <v>0</v>
      </c>
      <c r="KD75" s="45">
        <v>0</v>
      </c>
      <c r="KE75" s="45">
        <v>0</v>
      </c>
      <c r="KF75" s="45">
        <v>0</v>
      </c>
      <c r="KG75"/>
      <c r="KH75"/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0</v>
      </c>
      <c r="KQ75">
        <v>0</v>
      </c>
      <c r="KR75">
        <v>0</v>
      </c>
      <c r="KS75">
        <v>1</v>
      </c>
      <c r="KT75">
        <v>1</v>
      </c>
      <c r="KU75">
        <v>1</v>
      </c>
      <c r="KV75">
        <v>1</v>
      </c>
      <c r="KW75">
        <v>0</v>
      </c>
      <c r="KX75">
        <v>0</v>
      </c>
      <c r="KY75">
        <v>1</v>
      </c>
      <c r="KZ75">
        <v>0</v>
      </c>
      <c r="LA75">
        <v>0</v>
      </c>
      <c r="LB75">
        <v>1</v>
      </c>
      <c r="LC75">
        <v>0</v>
      </c>
      <c r="LD75">
        <v>0</v>
      </c>
      <c r="LE75">
        <v>1</v>
      </c>
      <c r="LF75">
        <v>1</v>
      </c>
      <c r="LG75">
        <v>0</v>
      </c>
      <c r="LH75">
        <v>0</v>
      </c>
      <c r="LI75">
        <v>1</v>
      </c>
      <c r="LJ75">
        <v>0</v>
      </c>
      <c r="LK75">
        <v>1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1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1</v>
      </c>
      <c r="LZ75">
        <v>1</v>
      </c>
      <c r="MA75">
        <v>0</v>
      </c>
      <c r="MB75">
        <v>1</v>
      </c>
      <c r="MC75">
        <v>0</v>
      </c>
      <c r="MD75">
        <v>1</v>
      </c>
      <c r="ME75">
        <v>1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1</v>
      </c>
      <c r="MP75">
        <v>0</v>
      </c>
      <c r="MQ75">
        <v>1</v>
      </c>
      <c r="MR75">
        <v>1</v>
      </c>
      <c r="MS75">
        <v>0</v>
      </c>
    </row>
    <row r="76" spans="1:358" s="39" customFormat="1" ht="18" x14ac:dyDescent="0.25">
      <c r="A76" t="s">
        <v>468</v>
      </c>
      <c r="B76" s="40">
        <v>50</v>
      </c>
      <c r="C76" s="40">
        <v>0</v>
      </c>
      <c r="D76" s="40">
        <v>1</v>
      </c>
      <c r="E76" s="41">
        <v>42625</v>
      </c>
      <c r="F76" s="61">
        <v>7</v>
      </c>
      <c r="G76" s="61"/>
      <c r="H76" s="58">
        <v>1</v>
      </c>
      <c r="I76" s="57">
        <v>1</v>
      </c>
      <c r="J76" s="58">
        <v>1</v>
      </c>
      <c r="K76" s="42">
        <v>42625</v>
      </c>
      <c r="L76" s="65">
        <v>1</v>
      </c>
      <c r="M76" s="40"/>
      <c r="N76" s="40">
        <v>1</v>
      </c>
      <c r="O76" s="42">
        <v>42647</v>
      </c>
      <c r="P76" s="64">
        <f t="shared" si="32"/>
        <v>29</v>
      </c>
      <c r="S76" s="39">
        <v>1</v>
      </c>
      <c r="U76" s="39">
        <v>0</v>
      </c>
      <c r="V76" s="39">
        <v>0</v>
      </c>
      <c r="W76" s="39">
        <v>0</v>
      </c>
      <c r="X76" s="39">
        <v>0</v>
      </c>
      <c r="Y76" s="39">
        <v>0</v>
      </c>
      <c r="Z76" s="39">
        <v>0</v>
      </c>
      <c r="AA76" s="39">
        <v>0</v>
      </c>
      <c r="AB76" s="39">
        <v>0</v>
      </c>
      <c r="AC76" s="39">
        <v>0</v>
      </c>
      <c r="AD76" s="39">
        <v>0</v>
      </c>
      <c r="AE76" s="39">
        <v>0</v>
      </c>
      <c r="AF76" s="39">
        <v>1</v>
      </c>
      <c r="AG76" s="39">
        <v>0</v>
      </c>
      <c r="AH76" s="39">
        <v>0</v>
      </c>
      <c r="AI76" s="39">
        <v>0</v>
      </c>
      <c r="AJ76" s="39">
        <v>0</v>
      </c>
      <c r="AK76" s="39">
        <v>0</v>
      </c>
      <c r="AL76" s="39">
        <v>0</v>
      </c>
      <c r="AM76" s="39">
        <v>0</v>
      </c>
      <c r="AQ76" s="39">
        <v>36.5</v>
      </c>
      <c r="AR76" s="39">
        <v>80</v>
      </c>
      <c r="AS76" s="39">
        <v>60</v>
      </c>
      <c r="AT76" s="39">
        <v>3</v>
      </c>
      <c r="AU76">
        <v>1</v>
      </c>
      <c r="AV76" s="39">
        <v>79</v>
      </c>
      <c r="AW76" s="43">
        <v>42618</v>
      </c>
      <c r="AX76" s="43">
        <v>42618</v>
      </c>
      <c r="AY76" s="39">
        <v>0</v>
      </c>
      <c r="AZ76" s="43">
        <v>42618</v>
      </c>
      <c r="BA76" s="39">
        <v>1</v>
      </c>
      <c r="BB76" s="39">
        <v>1</v>
      </c>
      <c r="BC76" s="39">
        <v>0</v>
      </c>
      <c r="BD76" s="39">
        <v>0</v>
      </c>
      <c r="BE76" s="39">
        <v>0</v>
      </c>
      <c r="BF76" s="39">
        <v>0</v>
      </c>
      <c r="BG76" s="39">
        <v>0</v>
      </c>
      <c r="BH76" s="39">
        <v>0</v>
      </c>
      <c r="BI76" s="39">
        <v>1</v>
      </c>
      <c r="BJ76" s="39">
        <v>3</v>
      </c>
      <c r="BK76">
        <v>0</v>
      </c>
      <c r="BL76">
        <v>0</v>
      </c>
      <c r="BN76">
        <v>0</v>
      </c>
      <c r="BO76">
        <v>0</v>
      </c>
      <c r="BP76" s="66">
        <f t="shared" ref="BP76:BP82" si="42">BJ76+BK76+BL76+BM76+BN76+BO76</f>
        <v>3</v>
      </c>
      <c r="BQ76" s="39">
        <v>1</v>
      </c>
      <c r="BR76" s="39">
        <v>3</v>
      </c>
      <c r="BS76" s="39">
        <v>3</v>
      </c>
      <c r="BT76">
        <v>0</v>
      </c>
      <c r="BU76" s="66"/>
      <c r="BV76">
        <v>0</v>
      </c>
      <c r="BW76">
        <v>0</v>
      </c>
      <c r="BX76" s="66">
        <f t="shared" si="33"/>
        <v>6</v>
      </c>
      <c r="BY76" s="39">
        <v>1</v>
      </c>
      <c r="BZ76">
        <v>1</v>
      </c>
      <c r="CA76" s="39">
        <v>1</v>
      </c>
      <c r="CB76" s="39">
        <v>1</v>
      </c>
      <c r="CD76" s="39">
        <v>1</v>
      </c>
      <c r="CO76">
        <f t="shared" si="39"/>
        <v>0</v>
      </c>
      <c r="CP76" s="39">
        <v>0</v>
      </c>
      <c r="CQ76" s="39">
        <v>0</v>
      </c>
      <c r="CR76" s="39">
        <v>0</v>
      </c>
      <c r="CS76" s="39">
        <v>0</v>
      </c>
      <c r="CT76" s="39">
        <v>0</v>
      </c>
      <c r="CU76" s="39">
        <v>0</v>
      </c>
      <c r="CV76" s="39">
        <v>0</v>
      </c>
      <c r="CW76" s="31"/>
      <c r="CX76" s="39">
        <v>0</v>
      </c>
      <c r="DA76" s="43">
        <v>42620</v>
      </c>
      <c r="DB76" s="66">
        <f t="shared" si="35"/>
        <v>2</v>
      </c>
      <c r="DC76" s="39" t="s">
        <v>3</v>
      </c>
      <c r="DD76" s="39">
        <v>1</v>
      </c>
      <c r="DE76" s="43">
        <v>42647</v>
      </c>
      <c r="DF76" s="39">
        <v>28</v>
      </c>
      <c r="DG76" s="43"/>
      <c r="DK76" s="80"/>
      <c r="DW76" s="43">
        <v>42618</v>
      </c>
      <c r="DX76" s="39">
        <v>2.9</v>
      </c>
      <c r="DY76" s="39">
        <v>2.9</v>
      </c>
      <c r="DZ76">
        <v>0</v>
      </c>
      <c r="EA76" s="39">
        <v>2.9</v>
      </c>
      <c r="EB76">
        <v>0</v>
      </c>
      <c r="EC76" s="39">
        <v>6.5</v>
      </c>
      <c r="ED76" s="39">
        <v>9.5500000000000007</v>
      </c>
      <c r="EE76">
        <v>1</v>
      </c>
      <c r="EF76" s="39">
        <v>9.5500000000000007</v>
      </c>
      <c r="EG76">
        <v>1</v>
      </c>
      <c r="EH76" s="39">
        <v>100</v>
      </c>
      <c r="EI76" s="62">
        <v>1</v>
      </c>
      <c r="EJ76" s="39">
        <v>100</v>
      </c>
      <c r="EK76">
        <v>0</v>
      </c>
      <c r="EL76">
        <f t="shared" si="36"/>
        <v>0</v>
      </c>
      <c r="EM76" s="39">
        <v>100</v>
      </c>
      <c r="EN76">
        <v>0</v>
      </c>
      <c r="FF76" s="39">
        <v>1</v>
      </c>
      <c r="FG76">
        <v>1</v>
      </c>
      <c r="FH76" s="53">
        <v>42552</v>
      </c>
      <c r="FI76">
        <v>1</v>
      </c>
      <c r="FJ76" s="1" t="e">
        <f>#REF!</f>
        <v>#REF!</v>
      </c>
      <c r="FK76" s="39">
        <v>1</v>
      </c>
      <c r="FL76">
        <v>0</v>
      </c>
      <c r="FM76"/>
      <c r="FN76"/>
      <c r="FO76" s="39">
        <v>0</v>
      </c>
      <c r="FQ76" s="44">
        <v>42624</v>
      </c>
      <c r="FR76" s="45" t="s">
        <v>231</v>
      </c>
      <c r="FS76" s="45">
        <v>1</v>
      </c>
      <c r="FT76" s="45">
        <v>1</v>
      </c>
      <c r="FU76" s="45">
        <v>1</v>
      </c>
      <c r="FV76" s="45">
        <v>1</v>
      </c>
      <c r="FW76" s="45">
        <v>1</v>
      </c>
      <c r="FX76" s="45">
        <v>0</v>
      </c>
      <c r="FY76" s="45">
        <v>0</v>
      </c>
      <c r="FZ76" s="45">
        <v>0</v>
      </c>
      <c r="GA76" s="45">
        <v>0</v>
      </c>
      <c r="GB76" s="45">
        <v>0</v>
      </c>
      <c r="GC76" s="45">
        <v>1</v>
      </c>
      <c r="GD76" s="45">
        <v>1</v>
      </c>
      <c r="GE76" s="45">
        <v>1</v>
      </c>
      <c r="GF76" s="45">
        <v>0</v>
      </c>
      <c r="GG76" s="45">
        <v>0</v>
      </c>
      <c r="GH76" s="45">
        <v>0</v>
      </c>
      <c r="GI76" s="45">
        <v>1</v>
      </c>
      <c r="GJ76" s="45">
        <v>0</v>
      </c>
      <c r="GK76" s="45">
        <v>0</v>
      </c>
      <c r="GL76" s="45">
        <v>0</v>
      </c>
      <c r="GM76" s="45">
        <v>1</v>
      </c>
      <c r="GN76" s="45">
        <v>0</v>
      </c>
      <c r="GO76" s="45">
        <v>0</v>
      </c>
      <c r="GP76" s="45">
        <v>0</v>
      </c>
      <c r="GQ76" s="45">
        <v>0</v>
      </c>
      <c r="GR76" s="45">
        <v>0</v>
      </c>
      <c r="GS76" s="45">
        <v>0</v>
      </c>
      <c r="GT76" s="45">
        <v>1</v>
      </c>
      <c r="GU76" s="45">
        <v>1</v>
      </c>
      <c r="GV76" s="45">
        <v>0</v>
      </c>
      <c r="GW76" s="45">
        <v>0</v>
      </c>
      <c r="GX76" s="45">
        <v>0</v>
      </c>
      <c r="GY76" s="15">
        <v>0</v>
      </c>
      <c r="GZ76" s="15">
        <v>0</v>
      </c>
      <c r="HA76" s="45">
        <v>0</v>
      </c>
      <c r="HB76" s="45">
        <v>1</v>
      </c>
      <c r="HC76" s="45">
        <v>0</v>
      </c>
      <c r="HD76" s="45">
        <v>0</v>
      </c>
      <c r="HE76" s="15">
        <v>0</v>
      </c>
      <c r="HF76" s="15">
        <v>0</v>
      </c>
      <c r="HG76" s="45">
        <v>0</v>
      </c>
      <c r="HH76" s="45">
        <v>1</v>
      </c>
      <c r="HI76" s="45">
        <v>1</v>
      </c>
      <c r="HJ76" s="45">
        <v>1</v>
      </c>
      <c r="HK76" s="45">
        <v>0</v>
      </c>
      <c r="HL76" s="45">
        <v>1</v>
      </c>
      <c r="HM76" s="45">
        <v>0</v>
      </c>
      <c r="HN76" s="45">
        <v>0</v>
      </c>
      <c r="HO76" s="45">
        <v>1</v>
      </c>
      <c r="HP76" s="45">
        <v>1</v>
      </c>
      <c r="HQ76" s="45">
        <v>0</v>
      </c>
      <c r="HR76" s="45">
        <v>1</v>
      </c>
      <c r="HS76" s="45">
        <v>1</v>
      </c>
      <c r="HT76" s="45">
        <v>1</v>
      </c>
      <c r="HU76" s="45">
        <v>1</v>
      </c>
      <c r="HV76" s="45">
        <v>1</v>
      </c>
      <c r="HW76" s="45">
        <v>0</v>
      </c>
      <c r="HX76" s="45">
        <v>0</v>
      </c>
      <c r="HY76" s="45"/>
      <c r="HZ76" s="45"/>
      <c r="IA76" s="45"/>
      <c r="IB76" s="45"/>
      <c r="IC76" s="45"/>
      <c r="ID76" s="45"/>
      <c r="IE76" s="45"/>
      <c r="IF76" s="45"/>
      <c r="IG76" s="45"/>
      <c r="IH76" s="45"/>
      <c r="II76" s="45"/>
      <c r="IJ76" s="45"/>
      <c r="IK76" s="45"/>
      <c r="IL76" s="45"/>
      <c r="IM76" s="45"/>
      <c r="IN76" s="45"/>
      <c r="IO76" s="45"/>
      <c r="IP76" s="45"/>
      <c r="IQ76" s="45"/>
      <c r="IR76" s="45"/>
      <c r="IS76" s="45"/>
      <c r="IT76" s="45"/>
      <c r="IU76" s="45"/>
      <c r="IV76" s="45"/>
      <c r="IW76" s="45"/>
      <c r="IX76" s="45"/>
      <c r="IY76" s="45"/>
      <c r="IZ76" s="45"/>
      <c r="JA76" s="45"/>
      <c r="JB76" s="45"/>
      <c r="JC76" s="45"/>
      <c r="JD76" s="45"/>
      <c r="JE76" s="45"/>
      <c r="JF76" s="45"/>
      <c r="JG76" s="45"/>
      <c r="JH76" s="45"/>
      <c r="JI76" s="45"/>
      <c r="JJ76" s="45"/>
      <c r="JK76" s="45"/>
      <c r="JL76" s="45"/>
      <c r="JM76" s="45"/>
      <c r="JN76" s="45"/>
      <c r="JO76" s="45"/>
      <c r="JP76" s="45"/>
      <c r="JQ76" s="45"/>
      <c r="JR76" s="45"/>
      <c r="JS76" s="45"/>
      <c r="JT76" s="45"/>
      <c r="JU76" s="45"/>
      <c r="JV76" s="45"/>
      <c r="JW76" s="45"/>
      <c r="JX76" s="45"/>
      <c r="JY76" s="45"/>
      <c r="JZ76" s="45"/>
      <c r="KA76" s="45"/>
      <c r="KB76" s="45"/>
      <c r="KC76" s="45"/>
      <c r="KD76" s="45"/>
      <c r="KE76" s="45"/>
      <c r="KF76" s="45"/>
      <c r="KG76"/>
      <c r="KH76"/>
      <c r="KI76">
        <v>1</v>
      </c>
      <c r="KJ76">
        <v>1</v>
      </c>
      <c r="KK76">
        <v>1</v>
      </c>
      <c r="KL76">
        <v>1</v>
      </c>
      <c r="KM76">
        <v>1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1</v>
      </c>
      <c r="KT76">
        <v>1</v>
      </c>
      <c r="KU76">
        <v>1</v>
      </c>
      <c r="KV76">
        <v>0</v>
      </c>
      <c r="KW76">
        <v>0</v>
      </c>
      <c r="KX76">
        <v>0</v>
      </c>
      <c r="KY76">
        <v>1</v>
      </c>
      <c r="KZ76">
        <v>0</v>
      </c>
      <c r="LA76">
        <v>0</v>
      </c>
      <c r="LB76">
        <v>0</v>
      </c>
      <c r="LC76">
        <v>1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1</v>
      </c>
      <c r="LK76">
        <v>1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1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1</v>
      </c>
      <c r="LY76">
        <v>1</v>
      </c>
      <c r="LZ76">
        <v>1</v>
      </c>
      <c r="MA76">
        <v>0</v>
      </c>
      <c r="MB76">
        <v>1</v>
      </c>
      <c r="MC76">
        <v>0</v>
      </c>
      <c r="MD76">
        <v>0</v>
      </c>
      <c r="ME76">
        <v>1</v>
      </c>
      <c r="MF76">
        <v>1</v>
      </c>
      <c r="MG76">
        <v>0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0</v>
      </c>
      <c r="MN76">
        <v>0</v>
      </c>
      <c r="MO76">
        <v>1</v>
      </c>
      <c r="MP76">
        <v>0</v>
      </c>
      <c r="MQ76">
        <v>1</v>
      </c>
      <c r="MR76">
        <v>1</v>
      </c>
    </row>
    <row r="77" spans="1:358" s="39" customFormat="1" ht="18" x14ac:dyDescent="0.25">
      <c r="A77" t="s">
        <v>469</v>
      </c>
      <c r="B77" s="40">
        <v>34</v>
      </c>
      <c r="C77" s="40">
        <v>0</v>
      </c>
      <c r="D77" s="40">
        <v>0</v>
      </c>
      <c r="E77" s="40"/>
      <c r="F77" s="55">
        <v>183</v>
      </c>
      <c r="G77" s="55"/>
      <c r="H77" s="57">
        <v>0</v>
      </c>
      <c r="I77" s="57">
        <v>0</v>
      </c>
      <c r="J77" s="57"/>
      <c r="K77" s="40"/>
      <c r="L77" s="40"/>
      <c r="M77" s="40"/>
      <c r="N77" s="40">
        <v>0</v>
      </c>
      <c r="O77" s="42">
        <v>43818</v>
      </c>
      <c r="P77" s="64">
        <f t="shared" si="32"/>
        <v>183</v>
      </c>
      <c r="Q77" s="39">
        <v>4</v>
      </c>
      <c r="R77" s="39">
        <v>1</v>
      </c>
      <c r="S77" s="39">
        <v>0</v>
      </c>
      <c r="T77" s="39">
        <v>92</v>
      </c>
      <c r="U77" s="39">
        <v>1</v>
      </c>
      <c r="V77" s="39">
        <v>1</v>
      </c>
      <c r="W77" s="39">
        <v>0</v>
      </c>
      <c r="X77" s="39">
        <v>0</v>
      </c>
      <c r="Y77" s="39">
        <v>0</v>
      </c>
      <c r="Z77" s="39">
        <v>1</v>
      </c>
      <c r="AA77" s="39">
        <v>0</v>
      </c>
      <c r="AB77" s="39">
        <v>1</v>
      </c>
      <c r="AC77" s="39">
        <v>0</v>
      </c>
      <c r="AD77" s="39">
        <v>0</v>
      </c>
      <c r="AE77" s="39">
        <v>0</v>
      </c>
      <c r="AF77" s="39">
        <v>0</v>
      </c>
      <c r="AG77" s="39">
        <v>0</v>
      </c>
      <c r="AH77" s="39">
        <v>0</v>
      </c>
      <c r="AI77" s="39">
        <v>0</v>
      </c>
      <c r="AJ77" s="39">
        <v>0</v>
      </c>
      <c r="AK77" s="39">
        <v>0</v>
      </c>
      <c r="AL77" s="39">
        <v>0</v>
      </c>
      <c r="AM77" s="39">
        <v>0</v>
      </c>
      <c r="AN77" s="39">
        <v>102</v>
      </c>
      <c r="AO77" s="39">
        <v>178</v>
      </c>
      <c r="AP77" s="39">
        <v>32.200000000000003</v>
      </c>
      <c r="AQ77" s="39">
        <v>37</v>
      </c>
      <c r="AR77" s="39">
        <v>140</v>
      </c>
      <c r="AS77" s="39">
        <v>95</v>
      </c>
      <c r="AT77" s="39">
        <v>2</v>
      </c>
      <c r="AU77">
        <v>0</v>
      </c>
      <c r="AV77" s="39">
        <v>130</v>
      </c>
      <c r="AW77" s="43">
        <v>43635</v>
      </c>
      <c r="AX77" s="43">
        <v>43635</v>
      </c>
      <c r="AY77" s="39">
        <v>0</v>
      </c>
      <c r="AZ77" s="43">
        <v>43633</v>
      </c>
      <c r="BA77" s="39">
        <v>1</v>
      </c>
      <c r="BB77" s="39">
        <v>0</v>
      </c>
      <c r="BC77" s="39">
        <v>0</v>
      </c>
      <c r="BD77" s="39">
        <v>0</v>
      </c>
      <c r="BE77" s="39">
        <v>0</v>
      </c>
      <c r="BF77" s="39">
        <v>0</v>
      </c>
      <c r="BG77" s="39">
        <v>0</v>
      </c>
      <c r="BH77" s="39">
        <v>0</v>
      </c>
      <c r="BI77" s="39">
        <v>0</v>
      </c>
      <c r="BJ77">
        <v>0</v>
      </c>
      <c r="BK77">
        <v>0</v>
      </c>
      <c r="BL77">
        <v>0</v>
      </c>
      <c r="BM77" s="66">
        <v>0</v>
      </c>
      <c r="BN77">
        <v>0</v>
      </c>
      <c r="BO77">
        <v>0</v>
      </c>
      <c r="BP77" s="66">
        <f t="shared" si="42"/>
        <v>0</v>
      </c>
      <c r="BQ77">
        <v>0</v>
      </c>
      <c r="BR77">
        <v>0</v>
      </c>
      <c r="BS77">
        <v>0</v>
      </c>
      <c r="BT77">
        <v>0</v>
      </c>
      <c r="BU77" s="66">
        <f t="shared" ref="BU77:BU82" si="43">BM77</f>
        <v>0</v>
      </c>
      <c r="BV77">
        <v>0</v>
      </c>
      <c r="BW77">
        <v>0</v>
      </c>
      <c r="BX77" s="66">
        <f t="shared" si="33"/>
        <v>0</v>
      </c>
      <c r="BY77">
        <v>0</v>
      </c>
      <c r="BZ77">
        <f t="shared" si="34"/>
        <v>0</v>
      </c>
      <c r="CA77" s="39">
        <v>0</v>
      </c>
      <c r="CB77" s="39">
        <v>0</v>
      </c>
      <c r="CC77" s="39">
        <v>1</v>
      </c>
      <c r="CD77" s="39">
        <v>0</v>
      </c>
      <c r="CE77" s="39">
        <v>0</v>
      </c>
      <c r="CF77" s="39">
        <v>0</v>
      </c>
      <c r="CG77" s="39">
        <v>0</v>
      </c>
      <c r="CH77" s="39">
        <v>0</v>
      </c>
      <c r="CI77" s="39">
        <v>0</v>
      </c>
      <c r="CJ77" s="39">
        <v>0</v>
      </c>
      <c r="CK77" s="39">
        <v>0</v>
      </c>
      <c r="CL77" s="39">
        <v>0</v>
      </c>
      <c r="CM77" s="39">
        <v>0</v>
      </c>
      <c r="CN77" s="39">
        <v>0</v>
      </c>
      <c r="CO77">
        <f t="shared" si="39"/>
        <v>0</v>
      </c>
      <c r="CP77" s="39">
        <v>0</v>
      </c>
      <c r="CQ77" s="39">
        <v>0</v>
      </c>
      <c r="CR77" s="39">
        <v>0</v>
      </c>
      <c r="CS77" s="39">
        <v>0</v>
      </c>
      <c r="CT77" s="39">
        <v>0</v>
      </c>
      <c r="CU77" s="39">
        <v>0</v>
      </c>
      <c r="CV77" s="39">
        <v>0</v>
      </c>
      <c r="CW77" s="31"/>
      <c r="CX77" s="39">
        <v>1</v>
      </c>
      <c r="CY77">
        <v>0</v>
      </c>
      <c r="DA77" s="43">
        <v>43636</v>
      </c>
      <c r="DB77" s="66">
        <f t="shared" si="35"/>
        <v>3</v>
      </c>
      <c r="DC77" s="39" t="s">
        <v>1</v>
      </c>
      <c r="DD77" s="39">
        <v>0</v>
      </c>
      <c r="DE77" s="43">
        <v>43643</v>
      </c>
      <c r="DF77" s="39">
        <v>8</v>
      </c>
      <c r="DG77" s="43">
        <v>43636</v>
      </c>
      <c r="DH77" s="39">
        <v>13</v>
      </c>
      <c r="DI77" s="39">
        <v>4.5999999999999996</v>
      </c>
      <c r="DJ77" s="39">
        <v>3.2</v>
      </c>
      <c r="DK77" s="80">
        <v>193</v>
      </c>
      <c r="DM77" s="39">
        <v>81</v>
      </c>
      <c r="DO77" s="39">
        <v>2</v>
      </c>
      <c r="DP77" s="39">
        <v>193</v>
      </c>
      <c r="DR77" s="39">
        <v>62</v>
      </c>
      <c r="DS77" s="39">
        <v>4.8</v>
      </c>
      <c r="DU77" s="39">
        <v>194</v>
      </c>
      <c r="DW77" s="43">
        <v>43635</v>
      </c>
      <c r="DX77" s="39">
        <v>7.4</v>
      </c>
      <c r="DY77" s="39">
        <v>7.5</v>
      </c>
      <c r="DZ77">
        <v>0</v>
      </c>
      <c r="EA77" s="39">
        <v>8</v>
      </c>
      <c r="EB77">
        <v>0</v>
      </c>
      <c r="EC77" s="39">
        <v>1</v>
      </c>
      <c r="ED77" s="39">
        <v>1</v>
      </c>
      <c r="EE77">
        <v>0</v>
      </c>
      <c r="EF77" s="39">
        <v>1</v>
      </c>
      <c r="EG77">
        <v>0</v>
      </c>
      <c r="EH77" s="39">
        <v>117</v>
      </c>
      <c r="EI77" s="62">
        <v>0.98290598290598297</v>
      </c>
      <c r="EJ77" s="39">
        <v>115</v>
      </c>
      <c r="EK77">
        <v>0</v>
      </c>
      <c r="EL77">
        <f t="shared" si="36"/>
        <v>-2</v>
      </c>
      <c r="EM77" s="39">
        <v>117</v>
      </c>
      <c r="EN77">
        <v>0</v>
      </c>
      <c r="EO77" s="39">
        <v>0.14000000000000001</v>
      </c>
      <c r="ER77" s="39">
        <v>23</v>
      </c>
      <c r="ES77" s="39">
        <v>37</v>
      </c>
      <c r="ET77" s="39">
        <v>29</v>
      </c>
      <c r="EU77" s="39">
        <v>46</v>
      </c>
      <c r="EV77" s="39">
        <v>171</v>
      </c>
      <c r="EW77" s="39">
        <v>90</v>
      </c>
      <c r="EX77" s="39">
        <v>19</v>
      </c>
      <c r="EY77" s="39">
        <v>9</v>
      </c>
      <c r="FC77" s="39">
        <v>1</v>
      </c>
      <c r="FD77" s="39">
        <v>0</v>
      </c>
      <c r="FF77" s="39">
        <v>1</v>
      </c>
      <c r="FG77">
        <v>0</v>
      </c>
      <c r="FK77">
        <v>0</v>
      </c>
      <c r="FL77">
        <v>0</v>
      </c>
      <c r="FM77"/>
      <c r="FN77"/>
      <c r="FO77">
        <v>0</v>
      </c>
      <c r="FQ77" s="44">
        <v>43636</v>
      </c>
      <c r="FR77" s="44" t="s">
        <v>230</v>
      </c>
      <c r="FS77" s="45">
        <v>1</v>
      </c>
      <c r="FT77" s="45">
        <v>0</v>
      </c>
      <c r="FU77" s="45">
        <v>1</v>
      </c>
      <c r="FV77" s="45">
        <v>0</v>
      </c>
      <c r="FW77" s="45">
        <v>1</v>
      </c>
      <c r="FX77" s="45">
        <v>1</v>
      </c>
      <c r="FY77" s="45">
        <v>0</v>
      </c>
      <c r="FZ77" s="45">
        <v>0</v>
      </c>
      <c r="GA77" s="45">
        <v>0</v>
      </c>
      <c r="GB77" s="45">
        <v>1</v>
      </c>
      <c r="GC77" s="45">
        <v>1</v>
      </c>
      <c r="GD77" s="45">
        <v>0</v>
      </c>
      <c r="GE77" s="45">
        <v>0</v>
      </c>
      <c r="GF77" s="45">
        <v>0</v>
      </c>
      <c r="GG77" s="45">
        <v>0</v>
      </c>
      <c r="GH77" s="45">
        <v>0</v>
      </c>
      <c r="GI77" s="45">
        <v>0</v>
      </c>
      <c r="GJ77" s="45">
        <v>0</v>
      </c>
      <c r="GK77" s="45">
        <v>1</v>
      </c>
      <c r="GL77" s="45">
        <v>0</v>
      </c>
      <c r="GM77" s="45">
        <v>0</v>
      </c>
      <c r="GN77" s="45">
        <v>1</v>
      </c>
      <c r="GO77" s="45">
        <v>1</v>
      </c>
      <c r="GP77" s="45">
        <v>0</v>
      </c>
      <c r="GQ77" s="45">
        <v>1</v>
      </c>
      <c r="GR77" s="45">
        <v>1</v>
      </c>
      <c r="GS77" s="45">
        <v>1</v>
      </c>
      <c r="GT77" s="45">
        <v>0</v>
      </c>
      <c r="GU77" s="45">
        <v>1</v>
      </c>
      <c r="GV77" s="45">
        <v>0</v>
      </c>
      <c r="GW77" s="45">
        <v>0</v>
      </c>
      <c r="GX77" s="45">
        <v>0</v>
      </c>
      <c r="GY77" s="15">
        <v>0</v>
      </c>
      <c r="GZ77" s="15">
        <v>0</v>
      </c>
      <c r="HA77" s="45">
        <v>0</v>
      </c>
      <c r="HB77" s="45">
        <v>1</v>
      </c>
      <c r="HC77" s="45">
        <v>0</v>
      </c>
      <c r="HD77" s="45">
        <v>0</v>
      </c>
      <c r="HE77" s="15">
        <v>0</v>
      </c>
      <c r="HF77" s="15">
        <v>0</v>
      </c>
      <c r="HG77" s="45">
        <v>0</v>
      </c>
      <c r="HH77" s="45">
        <v>0</v>
      </c>
      <c r="HI77" s="45">
        <v>0</v>
      </c>
      <c r="HJ77" s="45">
        <v>0</v>
      </c>
      <c r="HK77" s="45">
        <v>0</v>
      </c>
      <c r="HL77" s="45">
        <v>0</v>
      </c>
      <c r="HM77" s="45">
        <v>0</v>
      </c>
      <c r="HN77" s="45">
        <v>0</v>
      </c>
      <c r="HO77" s="45">
        <v>1</v>
      </c>
      <c r="HP77" s="45">
        <v>0</v>
      </c>
      <c r="HQ77" s="45">
        <v>0</v>
      </c>
      <c r="HR77" s="45">
        <v>0</v>
      </c>
      <c r="HS77" s="45">
        <v>0</v>
      </c>
      <c r="HT77" s="45">
        <v>0</v>
      </c>
      <c r="HU77" s="45">
        <v>1</v>
      </c>
      <c r="HV77" s="45">
        <v>0</v>
      </c>
      <c r="HW77" s="45">
        <v>1</v>
      </c>
      <c r="HX77" s="45">
        <v>1</v>
      </c>
      <c r="HY77" s="45"/>
      <c r="HZ77" s="45"/>
      <c r="IA77" s="45"/>
      <c r="IB77" s="45"/>
      <c r="IC77" s="45"/>
      <c r="ID77" s="45"/>
      <c r="IE77" s="45"/>
      <c r="IF77" s="45"/>
      <c r="IG77" s="45"/>
      <c r="IH77" s="45"/>
      <c r="II77" s="45"/>
      <c r="IJ77" s="45"/>
      <c r="IK77" s="45"/>
      <c r="IL77" s="45"/>
      <c r="IM77" s="45"/>
      <c r="IN77" s="45"/>
      <c r="IO77" s="45"/>
      <c r="IP77" s="45"/>
      <c r="IQ77" s="45"/>
      <c r="IR77" s="45"/>
      <c r="IS77" s="45"/>
      <c r="IT77" s="45"/>
      <c r="IU77" s="45"/>
      <c r="IV77" s="45"/>
      <c r="IW77" s="45"/>
      <c r="IX77" s="45"/>
      <c r="IY77" s="45"/>
      <c r="IZ77" s="45"/>
      <c r="JA77" s="45"/>
      <c r="JB77" s="45"/>
      <c r="JC77" s="45"/>
      <c r="JD77" s="45"/>
      <c r="JE77" s="45"/>
      <c r="JF77" s="45"/>
      <c r="JG77" s="45"/>
      <c r="JH77" s="45"/>
      <c r="JI77" s="45"/>
      <c r="JJ77" s="45"/>
      <c r="JK77" s="45"/>
      <c r="JL77" s="45"/>
      <c r="JM77" s="45"/>
      <c r="JN77" s="45"/>
      <c r="JO77" s="45"/>
      <c r="JP77" s="45"/>
      <c r="JQ77" s="45"/>
      <c r="JR77" s="45"/>
      <c r="JS77" s="45"/>
      <c r="JT77" s="45"/>
      <c r="JU77" s="45"/>
      <c r="JV77" s="45"/>
      <c r="JW77" s="45"/>
      <c r="JX77" s="45"/>
      <c r="JY77" s="45"/>
      <c r="JZ77" s="45"/>
      <c r="KA77" s="45"/>
      <c r="KB77" s="45"/>
      <c r="KC77" s="45"/>
      <c r="KD77" s="45"/>
      <c r="KE77" s="45"/>
      <c r="KF77" s="45"/>
      <c r="KG77"/>
      <c r="KH77"/>
      <c r="KI77">
        <v>1</v>
      </c>
      <c r="KJ77">
        <v>0</v>
      </c>
      <c r="KK77">
        <v>1</v>
      </c>
      <c r="KL77">
        <v>0</v>
      </c>
      <c r="KM77">
        <v>1</v>
      </c>
      <c r="KN77">
        <v>1</v>
      </c>
      <c r="KO77">
        <v>0</v>
      </c>
      <c r="KP77">
        <v>0</v>
      </c>
      <c r="KQ77">
        <v>0</v>
      </c>
      <c r="KR77">
        <v>1</v>
      </c>
      <c r="KS77">
        <v>1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1</v>
      </c>
      <c r="LB77">
        <v>0</v>
      </c>
      <c r="LC77">
        <v>0</v>
      </c>
      <c r="LD77">
        <v>1</v>
      </c>
      <c r="LE77">
        <v>1</v>
      </c>
      <c r="LF77">
        <v>0</v>
      </c>
      <c r="LG77">
        <v>1</v>
      </c>
      <c r="LH77">
        <v>1</v>
      </c>
      <c r="LI77">
        <v>1</v>
      </c>
      <c r="LJ77">
        <v>0</v>
      </c>
      <c r="LK77">
        <v>1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1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1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1</v>
      </c>
      <c r="ML77">
        <v>0</v>
      </c>
      <c r="MM77">
        <v>1</v>
      </c>
      <c r="MN77">
        <v>1</v>
      </c>
      <c r="MO77">
        <v>0</v>
      </c>
      <c r="MP77">
        <v>0</v>
      </c>
      <c r="MQ77">
        <f t="shared" si="37"/>
        <v>0</v>
      </c>
      <c r="MR77">
        <f t="shared" si="38"/>
        <v>0</v>
      </c>
    </row>
    <row r="78" spans="1:358" s="39" customFormat="1" ht="18" x14ac:dyDescent="0.25">
      <c r="A78" t="s">
        <v>470</v>
      </c>
      <c r="B78" s="40">
        <v>61</v>
      </c>
      <c r="C78" s="40">
        <v>0</v>
      </c>
      <c r="D78" s="40">
        <v>0</v>
      </c>
      <c r="E78" s="40"/>
      <c r="F78" s="55">
        <v>109</v>
      </c>
      <c r="G78" s="55"/>
      <c r="H78" s="57">
        <v>0</v>
      </c>
      <c r="I78" s="57">
        <v>0</v>
      </c>
      <c r="J78" s="57"/>
      <c r="K78" s="40"/>
      <c r="L78" s="40"/>
      <c r="M78" s="40"/>
      <c r="N78" s="40">
        <v>0</v>
      </c>
      <c r="O78" s="42">
        <v>42641</v>
      </c>
      <c r="P78" s="64">
        <f t="shared" si="32"/>
        <v>109</v>
      </c>
      <c r="Q78" s="39">
        <v>1</v>
      </c>
      <c r="R78" s="39">
        <v>1</v>
      </c>
      <c r="S78" s="39">
        <v>0</v>
      </c>
      <c r="T78" s="39">
        <v>95</v>
      </c>
      <c r="U78" s="39">
        <v>0</v>
      </c>
      <c r="V78" s="39">
        <v>0</v>
      </c>
      <c r="W78" s="39">
        <v>0</v>
      </c>
      <c r="X78" s="39">
        <v>0</v>
      </c>
      <c r="Y78" s="39">
        <v>0</v>
      </c>
      <c r="Z78" s="39">
        <v>0</v>
      </c>
      <c r="AA78" s="39">
        <v>0</v>
      </c>
      <c r="AB78" s="39">
        <v>0</v>
      </c>
      <c r="AC78" s="39">
        <v>0</v>
      </c>
      <c r="AD78" s="39">
        <v>0</v>
      </c>
      <c r="AE78" s="39">
        <v>0</v>
      </c>
      <c r="AF78" s="39">
        <v>0</v>
      </c>
      <c r="AG78" s="39">
        <v>0</v>
      </c>
      <c r="AH78" s="39">
        <v>0</v>
      </c>
      <c r="AI78" s="39">
        <v>0</v>
      </c>
      <c r="AJ78" s="39">
        <v>0</v>
      </c>
      <c r="AK78" s="39">
        <v>0</v>
      </c>
      <c r="AL78" s="39">
        <v>0</v>
      </c>
      <c r="AM78" s="39">
        <v>0</v>
      </c>
      <c r="AN78" s="39">
        <v>97</v>
      </c>
      <c r="AO78" s="39">
        <v>170</v>
      </c>
      <c r="AP78" s="39">
        <v>33.6</v>
      </c>
      <c r="AQ78" s="39">
        <v>36.9</v>
      </c>
      <c r="AR78" s="39">
        <v>126</v>
      </c>
      <c r="AS78" s="39">
        <v>97</v>
      </c>
      <c r="AT78" s="39">
        <v>2</v>
      </c>
      <c r="AU78">
        <v>0</v>
      </c>
      <c r="AV78" s="39">
        <v>97</v>
      </c>
      <c r="AW78" s="43">
        <v>42532</v>
      </c>
      <c r="AX78" s="43">
        <v>42532</v>
      </c>
      <c r="AY78" s="39">
        <v>0</v>
      </c>
      <c r="AZ78" s="43">
        <v>42528</v>
      </c>
      <c r="BA78" s="39">
        <v>1</v>
      </c>
      <c r="BB78" s="39">
        <v>0</v>
      </c>
      <c r="BC78" s="39">
        <v>1</v>
      </c>
      <c r="BD78" s="39">
        <v>1</v>
      </c>
      <c r="BE78" s="39">
        <v>0</v>
      </c>
      <c r="BF78" s="39">
        <v>0</v>
      </c>
      <c r="BG78" s="39">
        <v>0</v>
      </c>
      <c r="BH78" s="39">
        <v>1</v>
      </c>
      <c r="BI78" s="39">
        <v>0</v>
      </c>
      <c r="BJ78">
        <v>0</v>
      </c>
      <c r="BK78">
        <v>0</v>
      </c>
      <c r="BL78">
        <v>0</v>
      </c>
      <c r="BM78" s="66">
        <v>1</v>
      </c>
      <c r="BN78">
        <v>0</v>
      </c>
      <c r="BO78">
        <v>0</v>
      </c>
      <c r="BP78" s="66">
        <f t="shared" si="42"/>
        <v>1</v>
      </c>
      <c r="BQ78">
        <v>0</v>
      </c>
      <c r="BR78">
        <v>0</v>
      </c>
      <c r="BS78">
        <v>0</v>
      </c>
      <c r="BT78">
        <v>0</v>
      </c>
      <c r="BU78" s="66">
        <f t="shared" si="43"/>
        <v>1</v>
      </c>
      <c r="BV78">
        <v>0</v>
      </c>
      <c r="BW78">
        <v>0</v>
      </c>
      <c r="BX78" s="66">
        <f t="shared" si="33"/>
        <v>1</v>
      </c>
      <c r="BY78">
        <v>0</v>
      </c>
      <c r="BZ78">
        <f t="shared" si="34"/>
        <v>0</v>
      </c>
      <c r="CA78" s="39">
        <v>0</v>
      </c>
      <c r="CD78" s="39">
        <v>0</v>
      </c>
      <c r="CE78" s="39">
        <v>0</v>
      </c>
      <c r="CF78" s="39">
        <v>0</v>
      </c>
      <c r="CG78" s="39">
        <v>0</v>
      </c>
      <c r="CH78" s="39">
        <v>0</v>
      </c>
      <c r="CI78" s="39">
        <v>0</v>
      </c>
      <c r="CJ78" s="39">
        <v>0</v>
      </c>
      <c r="CK78" s="39">
        <v>0</v>
      </c>
      <c r="CL78" s="39">
        <v>0</v>
      </c>
      <c r="CM78" s="39">
        <v>0</v>
      </c>
      <c r="CN78" s="39">
        <v>0</v>
      </c>
      <c r="CO78">
        <f t="shared" si="39"/>
        <v>0</v>
      </c>
      <c r="CP78" s="39">
        <v>0</v>
      </c>
      <c r="CQ78" s="39">
        <v>0</v>
      </c>
      <c r="CR78" s="39">
        <v>0</v>
      </c>
      <c r="CS78" s="39">
        <v>0</v>
      </c>
      <c r="CT78" s="39">
        <v>0</v>
      </c>
      <c r="CW78" s="31"/>
      <c r="CX78" s="39">
        <v>1</v>
      </c>
      <c r="CY78">
        <v>0</v>
      </c>
      <c r="DA78" s="43">
        <v>42532</v>
      </c>
      <c r="DB78" s="66">
        <f t="shared" si="35"/>
        <v>4</v>
      </c>
      <c r="DC78" s="39" t="s">
        <v>1</v>
      </c>
      <c r="DD78" s="39">
        <v>0</v>
      </c>
      <c r="DE78" s="43">
        <v>42535</v>
      </c>
      <c r="DF78" s="39">
        <v>4</v>
      </c>
      <c r="DG78" s="43">
        <v>42532</v>
      </c>
      <c r="DH78" s="39">
        <v>13</v>
      </c>
      <c r="DI78" s="39">
        <v>7.4</v>
      </c>
      <c r="DJ78" s="39">
        <v>1</v>
      </c>
      <c r="DK78" s="80">
        <v>133</v>
      </c>
      <c r="DL78" s="39">
        <v>4</v>
      </c>
      <c r="DM78" s="39">
        <v>68</v>
      </c>
      <c r="DO78" s="39">
        <v>2</v>
      </c>
      <c r="DP78" s="39">
        <v>133</v>
      </c>
      <c r="DR78" s="39">
        <v>69</v>
      </c>
      <c r="DS78" s="39">
        <v>4.3</v>
      </c>
      <c r="DT78" s="39">
        <v>181</v>
      </c>
      <c r="DU78" s="39">
        <v>61</v>
      </c>
      <c r="DV78" s="39">
        <v>8</v>
      </c>
      <c r="DW78" s="43">
        <v>42532</v>
      </c>
      <c r="DX78" s="39">
        <v>9.1</v>
      </c>
      <c r="DY78" s="39">
        <v>7.6</v>
      </c>
      <c r="DZ78">
        <v>0</v>
      </c>
      <c r="EA78" s="39">
        <v>9</v>
      </c>
      <c r="EB78">
        <v>0</v>
      </c>
      <c r="EC78" s="39">
        <v>1.5</v>
      </c>
      <c r="ED78">
        <f t="shared" ref="ED78:ED79" si="44">EF78</f>
        <v>1.4</v>
      </c>
      <c r="EE78">
        <v>0</v>
      </c>
      <c r="EF78" s="39">
        <v>1.4</v>
      </c>
      <c r="EG78">
        <v>0</v>
      </c>
      <c r="EH78" s="39">
        <v>122</v>
      </c>
      <c r="EI78" s="62">
        <v>1.5163934426229499</v>
      </c>
      <c r="EJ78" s="39">
        <v>185</v>
      </c>
      <c r="EK78">
        <v>0</v>
      </c>
      <c r="EL78">
        <f t="shared" si="36"/>
        <v>63</v>
      </c>
      <c r="EM78" s="39">
        <v>185</v>
      </c>
      <c r="EN78">
        <v>0</v>
      </c>
      <c r="ER78" s="39">
        <v>24</v>
      </c>
      <c r="ES78" s="39">
        <v>49</v>
      </c>
      <c r="ET78" s="39">
        <v>26</v>
      </c>
      <c r="EU78" s="39">
        <v>25</v>
      </c>
      <c r="EV78" s="39">
        <v>138</v>
      </c>
      <c r="EW78" s="39">
        <v>72</v>
      </c>
      <c r="EX78" s="39">
        <v>23</v>
      </c>
      <c r="EY78" s="39">
        <v>10</v>
      </c>
      <c r="FC78" s="39">
        <v>1</v>
      </c>
      <c r="FD78" s="39">
        <v>0</v>
      </c>
      <c r="FF78" s="39">
        <v>1</v>
      </c>
      <c r="FG78">
        <v>1</v>
      </c>
      <c r="FH78" s="43">
        <v>42533</v>
      </c>
      <c r="FI78" s="43"/>
      <c r="FJ78" s="43"/>
      <c r="FK78">
        <v>0</v>
      </c>
      <c r="FL78">
        <v>0</v>
      </c>
      <c r="FM78"/>
      <c r="FN78"/>
      <c r="FO78">
        <v>0</v>
      </c>
      <c r="FQ78" s="44">
        <v>42532</v>
      </c>
      <c r="FR78" s="44" t="s">
        <v>230</v>
      </c>
      <c r="FS78" s="45">
        <v>1</v>
      </c>
      <c r="FT78" s="45">
        <v>1</v>
      </c>
      <c r="FU78" s="45">
        <v>1</v>
      </c>
      <c r="FV78" s="45">
        <v>1</v>
      </c>
      <c r="FW78" s="45">
        <v>1</v>
      </c>
      <c r="FX78" s="45">
        <v>1</v>
      </c>
      <c r="FY78" s="45">
        <v>0</v>
      </c>
      <c r="FZ78" s="45">
        <v>1</v>
      </c>
      <c r="GA78" s="45">
        <v>1</v>
      </c>
      <c r="GB78" s="45">
        <v>1</v>
      </c>
      <c r="GC78" s="45">
        <v>1</v>
      </c>
      <c r="GD78" s="45">
        <v>1</v>
      </c>
      <c r="GE78" s="45">
        <v>1</v>
      </c>
      <c r="GF78" s="45">
        <v>0</v>
      </c>
      <c r="GG78" s="45">
        <v>1</v>
      </c>
      <c r="GH78" s="45">
        <v>0</v>
      </c>
      <c r="GI78" s="45">
        <v>1</v>
      </c>
      <c r="GJ78" s="45">
        <v>0</v>
      </c>
      <c r="GK78" s="45">
        <v>0</v>
      </c>
      <c r="GL78" s="45">
        <v>0</v>
      </c>
      <c r="GM78" s="45">
        <v>1</v>
      </c>
      <c r="GN78" s="45">
        <v>0</v>
      </c>
      <c r="GO78" s="45">
        <v>1</v>
      </c>
      <c r="GP78" s="45">
        <v>1</v>
      </c>
      <c r="GQ78" s="45">
        <v>0</v>
      </c>
      <c r="GR78" s="45">
        <v>1</v>
      </c>
      <c r="GS78" s="45">
        <v>1</v>
      </c>
      <c r="GT78" s="45">
        <v>0</v>
      </c>
      <c r="GU78" s="45">
        <v>1</v>
      </c>
      <c r="GV78" s="45">
        <v>0</v>
      </c>
      <c r="GW78" s="45">
        <v>0</v>
      </c>
      <c r="GX78" s="45">
        <v>0</v>
      </c>
      <c r="GY78" s="15">
        <v>0</v>
      </c>
      <c r="GZ78" s="15">
        <v>0</v>
      </c>
      <c r="HA78" s="45">
        <v>0</v>
      </c>
      <c r="HB78" s="45">
        <v>1</v>
      </c>
      <c r="HC78" s="45">
        <v>0</v>
      </c>
      <c r="HD78" s="45">
        <v>0</v>
      </c>
      <c r="HE78" s="15">
        <v>0</v>
      </c>
      <c r="HF78" s="15">
        <v>0</v>
      </c>
      <c r="HG78" s="45">
        <v>0</v>
      </c>
      <c r="HH78" s="45">
        <v>0</v>
      </c>
      <c r="HI78" s="45">
        <v>0</v>
      </c>
      <c r="HJ78" s="45">
        <v>1</v>
      </c>
      <c r="HK78" s="45">
        <v>0</v>
      </c>
      <c r="HL78" s="45">
        <v>0</v>
      </c>
      <c r="HM78" s="45">
        <v>0</v>
      </c>
      <c r="HN78" s="45">
        <v>0</v>
      </c>
      <c r="HO78" s="45">
        <v>1</v>
      </c>
      <c r="HP78" s="45">
        <v>0</v>
      </c>
      <c r="HQ78" s="45">
        <v>0</v>
      </c>
      <c r="HR78" s="45">
        <v>0</v>
      </c>
      <c r="HS78" s="45">
        <v>0</v>
      </c>
      <c r="HT78" s="45">
        <v>1</v>
      </c>
      <c r="HU78" s="45">
        <v>1</v>
      </c>
      <c r="HV78" s="45">
        <v>0</v>
      </c>
      <c r="HW78" s="45">
        <v>0</v>
      </c>
      <c r="HX78" s="45">
        <v>0</v>
      </c>
      <c r="HY78" s="44">
        <v>42639</v>
      </c>
      <c r="HZ78" s="45" t="s">
        <v>231</v>
      </c>
      <c r="IA78" s="45">
        <v>1</v>
      </c>
      <c r="IB78" s="45">
        <v>1</v>
      </c>
      <c r="IC78" s="45">
        <v>1</v>
      </c>
      <c r="ID78" s="45">
        <v>1</v>
      </c>
      <c r="IE78" s="45">
        <v>1</v>
      </c>
      <c r="IF78" s="45">
        <v>0</v>
      </c>
      <c r="IG78" s="45">
        <v>0</v>
      </c>
      <c r="IH78" s="45">
        <v>0</v>
      </c>
      <c r="II78" s="45">
        <v>0</v>
      </c>
      <c r="IJ78" s="45">
        <v>0</v>
      </c>
      <c r="IK78" s="45">
        <v>0</v>
      </c>
      <c r="IL78" s="45">
        <v>0</v>
      </c>
      <c r="IM78" s="45">
        <v>0</v>
      </c>
      <c r="IN78" s="45">
        <v>0</v>
      </c>
      <c r="IO78" s="45">
        <v>0</v>
      </c>
      <c r="IP78" s="45">
        <v>0</v>
      </c>
      <c r="IQ78" s="45">
        <v>1</v>
      </c>
      <c r="IR78" s="45">
        <v>0</v>
      </c>
      <c r="IS78" s="45">
        <v>0</v>
      </c>
      <c r="IT78" s="45">
        <v>0</v>
      </c>
      <c r="IU78" s="45">
        <v>0</v>
      </c>
      <c r="IV78" s="45">
        <v>0</v>
      </c>
      <c r="IW78" s="45">
        <v>1</v>
      </c>
      <c r="IX78" s="45">
        <v>0</v>
      </c>
      <c r="IY78" s="45">
        <v>1</v>
      </c>
      <c r="IZ78" s="45">
        <v>0</v>
      </c>
      <c r="JA78" s="45">
        <v>1</v>
      </c>
      <c r="JB78" s="45">
        <v>1</v>
      </c>
      <c r="JC78" s="45">
        <v>1</v>
      </c>
      <c r="JD78" s="45">
        <v>0</v>
      </c>
      <c r="JE78" s="45">
        <v>0</v>
      </c>
      <c r="JF78" s="45">
        <v>0</v>
      </c>
      <c r="JG78" s="15">
        <v>0</v>
      </c>
      <c r="JH78" s="15">
        <v>0</v>
      </c>
      <c r="JI78" s="45">
        <v>0</v>
      </c>
      <c r="JJ78" s="45">
        <v>1</v>
      </c>
      <c r="JK78" s="45">
        <v>0</v>
      </c>
      <c r="JL78" s="45">
        <v>0</v>
      </c>
      <c r="JM78" s="15">
        <v>0</v>
      </c>
      <c r="JN78" s="15">
        <v>0</v>
      </c>
      <c r="JO78" s="45">
        <v>0</v>
      </c>
      <c r="JP78" s="45">
        <v>0</v>
      </c>
      <c r="JQ78" s="45">
        <v>0</v>
      </c>
      <c r="JR78" s="45">
        <v>0</v>
      </c>
      <c r="JS78" s="45">
        <v>0</v>
      </c>
      <c r="JT78" s="45">
        <v>0</v>
      </c>
      <c r="JU78" s="45">
        <v>0</v>
      </c>
      <c r="JV78" s="45">
        <v>0</v>
      </c>
      <c r="JW78" s="45">
        <v>0</v>
      </c>
      <c r="JX78" s="45">
        <v>0</v>
      </c>
      <c r="JY78" s="45">
        <v>0</v>
      </c>
      <c r="JZ78" s="45">
        <v>0</v>
      </c>
      <c r="KA78" s="45">
        <v>0</v>
      </c>
      <c r="KB78" s="45">
        <v>0</v>
      </c>
      <c r="KC78" s="45">
        <v>0</v>
      </c>
      <c r="KD78" s="45">
        <v>0</v>
      </c>
      <c r="KE78" s="45">
        <v>0</v>
      </c>
      <c r="KF78" s="45">
        <v>0</v>
      </c>
      <c r="KG78"/>
      <c r="KH78"/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0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0</v>
      </c>
      <c r="KW78">
        <v>1</v>
      </c>
      <c r="KX78">
        <v>0</v>
      </c>
      <c r="KY78">
        <v>1</v>
      </c>
      <c r="KZ78">
        <v>0</v>
      </c>
      <c r="LA78">
        <v>0</v>
      </c>
      <c r="LB78">
        <v>0</v>
      </c>
      <c r="LC78">
        <v>1</v>
      </c>
      <c r="LD78">
        <v>0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1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1</v>
      </c>
      <c r="MA78">
        <v>0</v>
      </c>
      <c r="MB78">
        <v>0</v>
      </c>
      <c r="MC78">
        <v>0</v>
      </c>
      <c r="MD78">
        <v>0</v>
      </c>
      <c r="ME78">
        <v>1</v>
      </c>
      <c r="MF78">
        <v>0</v>
      </c>
      <c r="MG78">
        <v>0</v>
      </c>
      <c r="MH78">
        <v>0</v>
      </c>
      <c r="MI78">
        <v>0</v>
      </c>
      <c r="MJ78">
        <v>1</v>
      </c>
      <c r="MK78">
        <v>1</v>
      </c>
      <c r="ML78">
        <v>0</v>
      </c>
      <c r="MM78">
        <v>0</v>
      </c>
      <c r="MN78">
        <v>0</v>
      </c>
      <c r="MO78">
        <v>1</v>
      </c>
      <c r="MP78">
        <v>0</v>
      </c>
      <c r="MQ78">
        <v>1</v>
      </c>
      <c r="MR78">
        <v>1</v>
      </c>
      <c r="MS78">
        <v>0</v>
      </c>
    </row>
    <row r="79" spans="1:358" s="39" customFormat="1" ht="18" x14ac:dyDescent="0.25">
      <c r="A79" t="s">
        <v>471</v>
      </c>
      <c r="B79" s="40">
        <v>48</v>
      </c>
      <c r="C79" s="40">
        <v>0</v>
      </c>
      <c r="D79" s="40">
        <v>1</v>
      </c>
      <c r="E79" s="41">
        <v>43775</v>
      </c>
      <c r="F79" s="61">
        <v>1</v>
      </c>
      <c r="G79" s="61"/>
      <c r="H79" s="58">
        <v>1</v>
      </c>
      <c r="I79" s="57">
        <v>1</v>
      </c>
      <c r="J79" s="58">
        <v>0</v>
      </c>
      <c r="K79" s="42">
        <v>43775</v>
      </c>
      <c r="L79" s="65">
        <v>1</v>
      </c>
      <c r="M79" s="42">
        <v>43858</v>
      </c>
      <c r="N79" s="40">
        <v>0</v>
      </c>
      <c r="O79" s="42">
        <v>44987</v>
      </c>
      <c r="P79" s="64">
        <f t="shared" si="32"/>
        <v>1213</v>
      </c>
      <c r="Q79" s="39">
        <v>3</v>
      </c>
      <c r="R79" s="39">
        <v>1</v>
      </c>
      <c r="S79" s="39">
        <v>0</v>
      </c>
      <c r="T79" s="39">
        <v>91</v>
      </c>
      <c r="U79" s="39">
        <v>0</v>
      </c>
      <c r="V79" s="39">
        <v>1</v>
      </c>
      <c r="W79" s="39">
        <v>1</v>
      </c>
      <c r="X79" s="39">
        <v>0</v>
      </c>
      <c r="Y79" s="39">
        <v>0</v>
      </c>
      <c r="Z79" s="39">
        <v>1</v>
      </c>
      <c r="AA79" s="39">
        <v>0</v>
      </c>
      <c r="AB79" s="39">
        <v>0</v>
      </c>
      <c r="AC79" s="39">
        <v>0</v>
      </c>
      <c r="AD79" s="39">
        <v>0</v>
      </c>
      <c r="AE79" s="39">
        <v>0</v>
      </c>
      <c r="AF79" s="39">
        <v>0</v>
      </c>
      <c r="AG79" s="39">
        <v>0</v>
      </c>
      <c r="AH79" s="39">
        <v>0</v>
      </c>
      <c r="AI79" s="39">
        <v>0</v>
      </c>
      <c r="AJ79" s="39">
        <v>0</v>
      </c>
      <c r="AK79" s="39">
        <v>0</v>
      </c>
      <c r="AL79" s="39">
        <v>0</v>
      </c>
      <c r="AM79" s="39">
        <v>0</v>
      </c>
      <c r="AN79" s="39">
        <v>95</v>
      </c>
      <c r="AO79" s="39">
        <v>172</v>
      </c>
      <c r="AP79" s="39">
        <v>32.1</v>
      </c>
      <c r="AQ79" s="39">
        <v>36.700000000000003</v>
      </c>
      <c r="AR79" s="39">
        <v>237</v>
      </c>
      <c r="AS79" s="39">
        <v>92</v>
      </c>
      <c r="AT79" s="39">
        <v>3</v>
      </c>
      <c r="AU79">
        <v>1</v>
      </c>
      <c r="AV79" s="39">
        <v>57</v>
      </c>
      <c r="AW79" s="43">
        <v>43774</v>
      </c>
      <c r="AX79" s="43">
        <v>43774</v>
      </c>
      <c r="AY79" s="39">
        <v>0</v>
      </c>
      <c r="AZ79" s="43">
        <v>43770</v>
      </c>
      <c r="BA79" s="39">
        <v>1</v>
      </c>
      <c r="BB79" s="39">
        <v>1</v>
      </c>
      <c r="BC79" s="39">
        <v>1</v>
      </c>
      <c r="BD79" s="39">
        <v>1</v>
      </c>
      <c r="BE79" s="39">
        <v>0</v>
      </c>
      <c r="BF79" s="39">
        <v>0</v>
      </c>
      <c r="BG79" s="39">
        <v>0</v>
      </c>
      <c r="BH79" s="39">
        <v>1</v>
      </c>
      <c r="BI79" s="39">
        <v>1</v>
      </c>
      <c r="BJ79">
        <v>0</v>
      </c>
      <c r="BK79">
        <v>0</v>
      </c>
      <c r="BL79">
        <v>0</v>
      </c>
      <c r="BM79" s="66">
        <v>1</v>
      </c>
      <c r="BN79" s="39">
        <v>1</v>
      </c>
      <c r="BO79">
        <v>0</v>
      </c>
      <c r="BP79" s="66">
        <f t="shared" si="42"/>
        <v>2</v>
      </c>
      <c r="BQ79" s="39">
        <v>1</v>
      </c>
      <c r="BR79">
        <v>0</v>
      </c>
      <c r="BS79">
        <v>0</v>
      </c>
      <c r="BT79">
        <v>0</v>
      </c>
      <c r="BU79" s="66">
        <f t="shared" si="43"/>
        <v>1</v>
      </c>
      <c r="BV79" s="39">
        <v>1</v>
      </c>
      <c r="BW79">
        <v>0</v>
      </c>
      <c r="BX79" s="66">
        <f t="shared" si="33"/>
        <v>2</v>
      </c>
      <c r="BY79" s="39">
        <v>0</v>
      </c>
      <c r="BZ79">
        <v>1</v>
      </c>
      <c r="CA79" s="39">
        <v>0</v>
      </c>
      <c r="CB79" s="39">
        <v>0</v>
      </c>
      <c r="CC79" s="39">
        <v>2</v>
      </c>
      <c r="CD79" s="39">
        <v>0</v>
      </c>
      <c r="CE79" s="39">
        <v>1</v>
      </c>
      <c r="CF79" s="39">
        <v>1</v>
      </c>
      <c r="CG79" s="39">
        <v>0</v>
      </c>
      <c r="CH79" s="39">
        <v>0</v>
      </c>
      <c r="CI79" s="39">
        <v>0</v>
      </c>
      <c r="CJ79" s="39">
        <v>0</v>
      </c>
      <c r="CK79" s="39">
        <v>0</v>
      </c>
      <c r="CL79" s="39">
        <v>0</v>
      </c>
      <c r="CM79" s="39">
        <v>0</v>
      </c>
      <c r="CN79" s="39">
        <v>0</v>
      </c>
      <c r="CO79">
        <v>1</v>
      </c>
      <c r="CP79" s="39">
        <v>0</v>
      </c>
      <c r="CQ79" s="39">
        <v>0</v>
      </c>
      <c r="CR79" s="39">
        <v>0</v>
      </c>
      <c r="CS79" s="39">
        <v>0</v>
      </c>
      <c r="CT79" s="39">
        <v>0</v>
      </c>
      <c r="CU79" s="39">
        <v>0</v>
      </c>
      <c r="CV79" s="39">
        <v>0</v>
      </c>
      <c r="CW79" s="31"/>
      <c r="CY79">
        <v>0</v>
      </c>
      <c r="DA79" s="43">
        <v>43774</v>
      </c>
      <c r="DB79" s="66">
        <f t="shared" si="35"/>
        <v>4</v>
      </c>
      <c r="DC79" s="39" t="s">
        <v>1</v>
      </c>
      <c r="DD79" s="39">
        <v>0</v>
      </c>
      <c r="DE79" s="43">
        <v>43794</v>
      </c>
      <c r="DF79" s="39">
        <v>21</v>
      </c>
      <c r="DG79" s="43">
        <v>43774</v>
      </c>
      <c r="DH79" s="39">
        <v>12</v>
      </c>
      <c r="DI79" s="39">
        <v>13.7</v>
      </c>
      <c r="DJ79" s="39">
        <v>1.8</v>
      </c>
      <c r="DK79" s="80">
        <v>142</v>
      </c>
      <c r="DM79" s="39">
        <v>77</v>
      </c>
      <c r="DN79" s="39">
        <v>25293</v>
      </c>
      <c r="DO79" s="39">
        <v>2</v>
      </c>
      <c r="DP79" s="39">
        <v>142</v>
      </c>
      <c r="DQ79" s="39">
        <v>25293</v>
      </c>
      <c r="DR79" s="39">
        <v>126</v>
      </c>
      <c r="DS79" s="39">
        <v>8.4</v>
      </c>
      <c r="DU79" s="39">
        <v>291</v>
      </c>
      <c r="DV79" s="39">
        <v>4</v>
      </c>
      <c r="DW79" s="43">
        <v>43774</v>
      </c>
      <c r="DX79" s="39">
        <v>20</v>
      </c>
      <c r="DY79">
        <f>EA79</f>
        <v>22</v>
      </c>
      <c r="DZ79">
        <v>1</v>
      </c>
      <c r="EA79" s="39">
        <v>22</v>
      </c>
      <c r="EB79">
        <v>1</v>
      </c>
      <c r="EC79" s="39">
        <v>8</v>
      </c>
      <c r="ED79">
        <f t="shared" si="44"/>
        <v>8.9</v>
      </c>
      <c r="EE79">
        <v>1</v>
      </c>
      <c r="EF79" s="39">
        <v>8.9</v>
      </c>
      <c r="EG79">
        <v>1</v>
      </c>
      <c r="EH79" s="39">
        <v>49</v>
      </c>
      <c r="EI79" s="62">
        <v>1.87755102040816</v>
      </c>
      <c r="EJ79" s="39">
        <v>92</v>
      </c>
      <c r="EK79">
        <v>0</v>
      </c>
      <c r="EL79">
        <f t="shared" si="36"/>
        <v>43</v>
      </c>
      <c r="EM79" s="39">
        <v>92</v>
      </c>
      <c r="EN79">
        <v>0</v>
      </c>
      <c r="EO79" s="39">
        <v>0.28999999999999998</v>
      </c>
      <c r="ER79" s="39">
        <v>18</v>
      </c>
      <c r="ES79" s="39">
        <v>59</v>
      </c>
      <c r="ET79" s="39">
        <v>25</v>
      </c>
      <c r="EU79" s="39">
        <v>38</v>
      </c>
      <c r="EV79" s="39">
        <v>84</v>
      </c>
      <c r="EW79" s="39">
        <v>63</v>
      </c>
      <c r="EX79" s="39">
        <v>21</v>
      </c>
      <c r="EY79" s="39">
        <v>11</v>
      </c>
      <c r="FA79" s="39">
        <v>7.29</v>
      </c>
      <c r="FB79">
        <v>1</v>
      </c>
      <c r="FC79" s="39">
        <v>1</v>
      </c>
      <c r="FD79" s="39">
        <v>0</v>
      </c>
      <c r="FF79" s="39">
        <v>1</v>
      </c>
      <c r="FG79">
        <v>1</v>
      </c>
      <c r="FH79" s="43">
        <v>43865</v>
      </c>
      <c r="FI79" s="43"/>
      <c r="FJ79" s="43"/>
      <c r="FK79" s="39">
        <v>0</v>
      </c>
      <c r="FL79">
        <v>1</v>
      </c>
      <c r="FM79" s="39">
        <v>110</v>
      </c>
      <c r="FN79" s="39">
        <v>100</v>
      </c>
      <c r="FO79">
        <v>0</v>
      </c>
      <c r="FQ79" s="44">
        <v>43774</v>
      </c>
      <c r="FR79" s="44" t="s">
        <v>230</v>
      </c>
      <c r="FS79" s="45">
        <v>1</v>
      </c>
      <c r="FT79" s="45">
        <v>0</v>
      </c>
      <c r="FU79" s="45">
        <v>1</v>
      </c>
      <c r="FV79" s="45">
        <v>0</v>
      </c>
      <c r="FW79" s="45">
        <v>1</v>
      </c>
      <c r="FX79" s="45">
        <v>1</v>
      </c>
      <c r="FY79" s="45">
        <v>1</v>
      </c>
      <c r="FZ79" s="45">
        <v>0</v>
      </c>
      <c r="GA79" s="45">
        <v>1</v>
      </c>
      <c r="GB79" s="45">
        <v>1</v>
      </c>
      <c r="GC79" s="45">
        <v>1</v>
      </c>
      <c r="GD79" s="45">
        <v>1</v>
      </c>
      <c r="GE79" s="45">
        <v>1</v>
      </c>
      <c r="GF79" s="45">
        <v>1</v>
      </c>
      <c r="GG79" s="45">
        <v>1</v>
      </c>
      <c r="GH79" s="45">
        <v>1</v>
      </c>
      <c r="GI79" s="45">
        <v>0</v>
      </c>
      <c r="GJ79" s="45">
        <v>0</v>
      </c>
      <c r="GK79" s="45">
        <v>1</v>
      </c>
      <c r="GL79" s="45">
        <v>0</v>
      </c>
      <c r="GM79" s="45">
        <v>1</v>
      </c>
      <c r="GN79" s="45">
        <v>0</v>
      </c>
      <c r="GO79" s="45">
        <v>1</v>
      </c>
      <c r="GP79" s="45">
        <v>1</v>
      </c>
      <c r="GQ79" s="45">
        <v>0</v>
      </c>
      <c r="GR79" s="45">
        <v>1</v>
      </c>
      <c r="GS79" s="45">
        <v>1</v>
      </c>
      <c r="GT79" s="45">
        <v>0</v>
      </c>
      <c r="GU79" s="45">
        <v>1</v>
      </c>
      <c r="GV79" s="45">
        <v>0</v>
      </c>
      <c r="GW79" s="45">
        <v>0</v>
      </c>
      <c r="GX79" s="45">
        <v>0</v>
      </c>
      <c r="GY79" s="15">
        <v>0</v>
      </c>
      <c r="GZ79" s="15">
        <v>0</v>
      </c>
      <c r="HA79" s="45">
        <v>0</v>
      </c>
      <c r="HB79" s="45">
        <v>1</v>
      </c>
      <c r="HC79" s="45">
        <v>0</v>
      </c>
      <c r="HD79" s="45">
        <v>0</v>
      </c>
      <c r="HE79" s="15">
        <v>0</v>
      </c>
      <c r="HF79" s="15">
        <v>0</v>
      </c>
      <c r="HG79" s="45">
        <v>0</v>
      </c>
      <c r="HH79" s="45">
        <v>1</v>
      </c>
      <c r="HI79" s="45">
        <v>1</v>
      </c>
      <c r="HJ79" s="45">
        <v>1</v>
      </c>
      <c r="HK79" s="45">
        <v>0</v>
      </c>
      <c r="HL79" s="45">
        <v>1</v>
      </c>
      <c r="HM79" s="45">
        <v>0</v>
      </c>
      <c r="HN79" s="45">
        <v>0</v>
      </c>
      <c r="HO79" s="45">
        <v>1</v>
      </c>
      <c r="HP79" s="45">
        <v>0</v>
      </c>
      <c r="HQ79" s="45">
        <v>0</v>
      </c>
      <c r="HR79" s="45">
        <v>0</v>
      </c>
      <c r="HS79" s="45">
        <v>0</v>
      </c>
      <c r="HT79" s="45">
        <v>1</v>
      </c>
      <c r="HU79" s="45">
        <v>1</v>
      </c>
      <c r="HV79" s="45">
        <v>0</v>
      </c>
      <c r="HW79" s="45">
        <v>0</v>
      </c>
      <c r="HX79" s="45">
        <v>0</v>
      </c>
      <c r="HY79" s="45"/>
      <c r="HZ79" s="45"/>
      <c r="IA79" s="45"/>
      <c r="IB79" s="45"/>
      <c r="IC79" s="45"/>
      <c r="ID79" s="45"/>
      <c r="IE79" s="45"/>
      <c r="IF79" s="45"/>
      <c r="IG79" s="45"/>
      <c r="IH79" s="45"/>
      <c r="II79" s="45"/>
      <c r="IJ79" s="45"/>
      <c r="IK79" s="45"/>
      <c r="IL79" s="45"/>
      <c r="IM79" s="45"/>
      <c r="IN79" s="45"/>
      <c r="IO79" s="45"/>
      <c r="IP79" s="45"/>
      <c r="IQ79" s="45"/>
      <c r="IR79" s="45"/>
      <c r="IS79" s="45"/>
      <c r="IT79" s="45"/>
      <c r="IU79" s="45"/>
      <c r="IV79" s="45"/>
      <c r="IW79" s="45"/>
      <c r="IX79" s="45"/>
      <c r="IY79" s="45"/>
      <c r="IZ79" s="45"/>
      <c r="JA79" s="45"/>
      <c r="JB79" s="45"/>
      <c r="JC79" s="45"/>
      <c r="JD79" s="45"/>
      <c r="JE79" s="45"/>
      <c r="JF79" s="45"/>
      <c r="JG79" s="45"/>
      <c r="JH79" s="45"/>
      <c r="JI79" s="45"/>
      <c r="JJ79" s="45"/>
      <c r="JK79" s="45"/>
      <c r="JL79" s="45"/>
      <c r="JM79" s="45"/>
      <c r="JN79" s="45"/>
      <c r="JO79" s="45"/>
      <c r="JP79" s="45"/>
      <c r="JQ79" s="45"/>
      <c r="JR79" s="45"/>
      <c r="JS79" s="45"/>
      <c r="JT79" s="45"/>
      <c r="JU79" s="45"/>
      <c r="JV79" s="45"/>
      <c r="JW79" s="45"/>
      <c r="JX79" s="45"/>
      <c r="JY79" s="45"/>
      <c r="JZ79" s="45"/>
      <c r="KA79" s="45"/>
      <c r="KB79" s="45"/>
      <c r="KC79" s="45"/>
      <c r="KD79" s="45"/>
      <c r="KE79" s="45"/>
      <c r="KF79" s="45"/>
      <c r="KG79"/>
      <c r="KH79"/>
      <c r="KI79">
        <v>1</v>
      </c>
      <c r="KJ79">
        <v>0</v>
      </c>
      <c r="KK79">
        <v>1</v>
      </c>
      <c r="KL79">
        <v>0</v>
      </c>
      <c r="KM79">
        <v>1</v>
      </c>
      <c r="KN79">
        <v>1</v>
      </c>
      <c r="KO79">
        <v>1</v>
      </c>
      <c r="KP79">
        <v>0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0</v>
      </c>
      <c r="KZ79">
        <v>0</v>
      </c>
      <c r="LA79">
        <v>1</v>
      </c>
      <c r="LB79">
        <v>0</v>
      </c>
      <c r="LC79">
        <v>1</v>
      </c>
      <c r="LD79">
        <v>0</v>
      </c>
      <c r="LE79">
        <v>1</v>
      </c>
      <c r="LF79">
        <v>1</v>
      </c>
      <c r="LG79">
        <v>0</v>
      </c>
      <c r="LH79">
        <v>1</v>
      </c>
      <c r="LI79">
        <v>1</v>
      </c>
      <c r="LJ79">
        <v>0</v>
      </c>
      <c r="LK79">
        <v>1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1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1</v>
      </c>
      <c r="LY79">
        <v>1</v>
      </c>
      <c r="LZ79">
        <v>1</v>
      </c>
      <c r="MA79">
        <v>0</v>
      </c>
      <c r="MB79">
        <v>1</v>
      </c>
      <c r="MC79">
        <v>0</v>
      </c>
      <c r="MD79">
        <v>0</v>
      </c>
      <c r="ME79">
        <v>1</v>
      </c>
      <c r="MF79">
        <v>0</v>
      </c>
      <c r="MG79">
        <v>0</v>
      </c>
      <c r="MH79">
        <v>0</v>
      </c>
      <c r="MI79">
        <v>0</v>
      </c>
      <c r="MJ79">
        <v>1</v>
      </c>
      <c r="MK79">
        <v>1</v>
      </c>
      <c r="ML79">
        <v>0</v>
      </c>
      <c r="MM79">
        <v>0</v>
      </c>
      <c r="MN79">
        <v>0</v>
      </c>
      <c r="MO79">
        <v>1</v>
      </c>
      <c r="MP79">
        <v>0</v>
      </c>
      <c r="MQ79">
        <v>1</v>
      </c>
      <c r="MR79">
        <v>1</v>
      </c>
    </row>
    <row r="80" spans="1:358" s="39" customFormat="1" ht="18" x14ac:dyDescent="0.25">
      <c r="A80" t="s">
        <v>472</v>
      </c>
      <c r="B80" s="40">
        <v>34</v>
      </c>
      <c r="C80" s="40">
        <v>1</v>
      </c>
      <c r="D80" s="40">
        <v>0</v>
      </c>
      <c r="E80" s="40"/>
      <c r="F80" s="55">
        <v>2244</v>
      </c>
      <c r="G80" s="55"/>
      <c r="H80" s="57">
        <v>0</v>
      </c>
      <c r="I80" s="57">
        <v>0</v>
      </c>
      <c r="J80" s="57"/>
      <c r="K80" s="40"/>
      <c r="L80" s="40"/>
      <c r="M80" s="40"/>
      <c r="N80" s="40">
        <v>0</v>
      </c>
      <c r="O80" s="42">
        <v>45005</v>
      </c>
      <c r="P80" s="64">
        <f t="shared" si="32"/>
        <v>2244</v>
      </c>
      <c r="Q80" s="39">
        <v>4</v>
      </c>
      <c r="R80" s="39">
        <v>1</v>
      </c>
      <c r="S80" s="39">
        <v>0</v>
      </c>
      <c r="T80" s="39">
        <v>93</v>
      </c>
      <c r="U80" s="39">
        <v>0</v>
      </c>
      <c r="V80" s="39">
        <v>0</v>
      </c>
      <c r="W80" s="39">
        <v>0</v>
      </c>
      <c r="X80" s="39">
        <v>0</v>
      </c>
      <c r="Y80" s="39">
        <v>0</v>
      </c>
      <c r="Z80" s="39">
        <v>0</v>
      </c>
      <c r="AA80" s="39">
        <v>0</v>
      </c>
      <c r="AB80" s="39">
        <v>0</v>
      </c>
      <c r="AC80" s="39">
        <v>0</v>
      </c>
      <c r="AD80" s="39">
        <v>0</v>
      </c>
      <c r="AE80" s="39">
        <v>0</v>
      </c>
      <c r="AF80" s="39">
        <v>0</v>
      </c>
      <c r="AG80" s="39">
        <v>0</v>
      </c>
      <c r="AH80" s="39">
        <v>0</v>
      </c>
      <c r="AI80" s="39">
        <v>0</v>
      </c>
      <c r="AJ80" s="39">
        <v>0</v>
      </c>
      <c r="AK80" s="39">
        <v>0</v>
      </c>
      <c r="AL80" s="39">
        <v>0</v>
      </c>
      <c r="AM80" s="39">
        <v>0</v>
      </c>
      <c r="AN80" s="39">
        <v>73</v>
      </c>
      <c r="AO80" s="39">
        <v>163</v>
      </c>
      <c r="AP80" s="39">
        <v>27.5</v>
      </c>
      <c r="AQ80" s="39">
        <v>37.4</v>
      </c>
      <c r="AR80" s="39">
        <v>92</v>
      </c>
      <c r="AS80" s="39">
        <v>39</v>
      </c>
      <c r="AV80" s="39">
        <v>115</v>
      </c>
      <c r="AW80" s="43">
        <v>42761</v>
      </c>
      <c r="AX80" s="43">
        <v>42761</v>
      </c>
      <c r="AY80" s="39">
        <v>0</v>
      </c>
      <c r="AZ80" s="43">
        <v>42746</v>
      </c>
      <c r="BA80" s="39">
        <v>1</v>
      </c>
      <c r="BB80" s="39">
        <v>0</v>
      </c>
      <c r="BC80" s="39">
        <v>0</v>
      </c>
      <c r="BD80" s="39">
        <v>0</v>
      </c>
      <c r="BE80" s="39">
        <v>0</v>
      </c>
      <c r="BF80" s="39">
        <v>0</v>
      </c>
      <c r="BG80" s="39">
        <v>0</v>
      </c>
      <c r="BH80" s="39">
        <v>0</v>
      </c>
      <c r="BI80" s="39">
        <v>0</v>
      </c>
      <c r="BJ80">
        <v>0</v>
      </c>
      <c r="BK80">
        <v>0</v>
      </c>
      <c r="BL80">
        <v>0</v>
      </c>
      <c r="BM80" s="66">
        <v>0</v>
      </c>
      <c r="BN80">
        <v>0</v>
      </c>
      <c r="BO80">
        <v>0</v>
      </c>
      <c r="BP80" s="66">
        <f t="shared" si="42"/>
        <v>0</v>
      </c>
      <c r="BQ80">
        <v>0</v>
      </c>
      <c r="BR80">
        <v>0</v>
      </c>
      <c r="BS80">
        <v>0</v>
      </c>
      <c r="BT80">
        <v>0</v>
      </c>
      <c r="BU80" s="66">
        <f t="shared" si="43"/>
        <v>0</v>
      </c>
      <c r="BV80">
        <v>0</v>
      </c>
      <c r="BW80">
        <v>0</v>
      </c>
      <c r="BX80" s="66">
        <f t="shared" si="33"/>
        <v>0</v>
      </c>
      <c r="BY80">
        <v>0</v>
      </c>
      <c r="BZ80">
        <f t="shared" si="34"/>
        <v>0</v>
      </c>
      <c r="CA80" s="39">
        <v>0</v>
      </c>
      <c r="CD80" s="39">
        <v>0</v>
      </c>
      <c r="CE80" s="39">
        <v>0</v>
      </c>
      <c r="CF80" s="39">
        <v>0</v>
      </c>
      <c r="CG80" s="39">
        <v>0</v>
      </c>
      <c r="CH80" s="39">
        <v>0</v>
      </c>
      <c r="CI80" s="39">
        <v>0</v>
      </c>
      <c r="CJ80" s="39">
        <v>0</v>
      </c>
      <c r="CK80" s="39">
        <v>0</v>
      </c>
      <c r="CL80" s="39">
        <v>0</v>
      </c>
      <c r="CM80" s="39">
        <v>0</v>
      </c>
      <c r="CN80" s="39">
        <v>0</v>
      </c>
      <c r="CO80">
        <f t="shared" si="39"/>
        <v>0</v>
      </c>
      <c r="CP80" s="39">
        <v>0</v>
      </c>
      <c r="CQ80" s="39">
        <v>0</v>
      </c>
      <c r="CR80" s="39">
        <v>0</v>
      </c>
      <c r="CS80" s="39">
        <v>0</v>
      </c>
      <c r="CT80" s="39">
        <v>0</v>
      </c>
      <c r="CU80" s="39">
        <v>0</v>
      </c>
      <c r="CV80" s="39">
        <v>0</v>
      </c>
      <c r="CW80" s="31"/>
      <c r="CX80" s="39">
        <v>1</v>
      </c>
      <c r="CY80">
        <v>0</v>
      </c>
      <c r="DA80" s="43">
        <v>42762</v>
      </c>
      <c r="DB80" s="66">
        <f t="shared" si="35"/>
        <v>16</v>
      </c>
      <c r="DC80" s="39" t="s">
        <v>1</v>
      </c>
      <c r="DD80" s="39">
        <v>0</v>
      </c>
      <c r="DE80" s="43">
        <v>42767</v>
      </c>
      <c r="DF80" s="39">
        <v>6</v>
      </c>
      <c r="DG80" s="43">
        <v>42762</v>
      </c>
      <c r="DH80" s="39">
        <v>12</v>
      </c>
      <c r="DI80" s="39">
        <v>6.2</v>
      </c>
      <c r="DJ80" s="39">
        <v>2</v>
      </c>
      <c r="DK80" s="80">
        <v>151</v>
      </c>
      <c r="DM80" s="39">
        <v>98</v>
      </c>
      <c r="DO80" s="39">
        <v>2</v>
      </c>
      <c r="DP80" s="39">
        <v>151</v>
      </c>
      <c r="DR80" s="39">
        <v>59</v>
      </c>
      <c r="DS80" s="39">
        <v>3.5</v>
      </c>
      <c r="DW80" s="43">
        <v>42761</v>
      </c>
      <c r="DX80" s="39">
        <v>14</v>
      </c>
      <c r="DY80" s="39">
        <v>8.8000000000000007</v>
      </c>
      <c r="DZ80">
        <v>0</v>
      </c>
      <c r="EA80" s="39">
        <v>14</v>
      </c>
      <c r="EB80">
        <v>0</v>
      </c>
      <c r="EC80" s="39">
        <v>1</v>
      </c>
      <c r="ED80" s="39">
        <v>0.8</v>
      </c>
      <c r="EE80">
        <v>0</v>
      </c>
      <c r="EF80" s="39">
        <v>1</v>
      </c>
      <c r="EG80">
        <v>0</v>
      </c>
      <c r="EH80" s="39">
        <v>46</v>
      </c>
      <c r="EI80" s="62">
        <v>0.47826086956521702</v>
      </c>
      <c r="EJ80" s="39">
        <v>22</v>
      </c>
      <c r="EK80">
        <v>0</v>
      </c>
      <c r="EL80">
        <f t="shared" si="36"/>
        <v>-24</v>
      </c>
      <c r="EM80" s="39">
        <v>46</v>
      </c>
      <c r="EN80">
        <v>0</v>
      </c>
      <c r="EO80" s="39">
        <v>0.05</v>
      </c>
      <c r="ER80" s="39">
        <v>23</v>
      </c>
      <c r="ET80" s="39">
        <v>38</v>
      </c>
      <c r="EU80" s="39">
        <v>48</v>
      </c>
      <c r="EV80" s="39">
        <v>75</v>
      </c>
      <c r="EW80" s="39">
        <v>69</v>
      </c>
      <c r="EX80" s="39">
        <v>9</v>
      </c>
      <c r="EY80" s="39">
        <v>3</v>
      </c>
      <c r="FC80" s="39">
        <v>1</v>
      </c>
      <c r="FD80" s="39">
        <v>0</v>
      </c>
      <c r="FF80" s="39">
        <v>1</v>
      </c>
      <c r="FG80">
        <v>1</v>
      </c>
      <c r="FH80" s="43">
        <v>43437</v>
      </c>
      <c r="FI80" s="43"/>
      <c r="FJ80" s="43"/>
      <c r="FK80">
        <v>0</v>
      </c>
      <c r="FL80">
        <v>0</v>
      </c>
      <c r="FM80"/>
      <c r="FN80"/>
      <c r="FO80">
        <v>0</v>
      </c>
      <c r="FQ80" s="44">
        <v>42761</v>
      </c>
      <c r="FR80" s="44" t="s">
        <v>231</v>
      </c>
      <c r="FS80" s="45">
        <v>1</v>
      </c>
      <c r="FT80" s="45">
        <v>0</v>
      </c>
      <c r="FU80" s="45">
        <v>1</v>
      </c>
      <c r="FV80" s="45">
        <v>0</v>
      </c>
      <c r="FW80" s="45">
        <v>1</v>
      </c>
      <c r="FX80" s="45">
        <v>0</v>
      </c>
      <c r="FY80" s="45">
        <v>0</v>
      </c>
      <c r="FZ80" s="45">
        <v>0</v>
      </c>
      <c r="GA80" s="45">
        <v>0</v>
      </c>
      <c r="GB80" s="45">
        <v>1</v>
      </c>
      <c r="GC80" s="45">
        <v>0</v>
      </c>
      <c r="GD80" s="45">
        <v>1</v>
      </c>
      <c r="GE80" s="45">
        <v>0</v>
      </c>
      <c r="GF80" s="45">
        <v>0</v>
      </c>
      <c r="GG80" s="45">
        <v>0</v>
      </c>
      <c r="GH80" s="45">
        <v>0</v>
      </c>
      <c r="GI80" s="45">
        <v>1</v>
      </c>
      <c r="GJ80" s="45">
        <v>0</v>
      </c>
      <c r="GK80" s="45">
        <v>0</v>
      </c>
      <c r="GL80" s="45">
        <v>0</v>
      </c>
      <c r="GM80" s="45">
        <v>1</v>
      </c>
      <c r="GN80" s="45">
        <v>0</v>
      </c>
      <c r="GO80" s="45">
        <v>1</v>
      </c>
      <c r="GP80" s="45">
        <v>1</v>
      </c>
      <c r="GQ80" s="45">
        <v>0</v>
      </c>
      <c r="GR80" s="45">
        <v>1</v>
      </c>
      <c r="GS80" s="45">
        <v>1</v>
      </c>
      <c r="GT80" s="45">
        <v>0</v>
      </c>
      <c r="GU80" s="45">
        <v>1</v>
      </c>
      <c r="GV80" s="45">
        <v>0</v>
      </c>
      <c r="GW80" s="45">
        <v>0</v>
      </c>
      <c r="GX80" s="45">
        <v>0</v>
      </c>
      <c r="GY80" s="15">
        <v>0</v>
      </c>
      <c r="GZ80" s="15">
        <v>0</v>
      </c>
      <c r="HA80" s="45">
        <v>0</v>
      </c>
      <c r="HB80" s="45">
        <v>1</v>
      </c>
      <c r="HC80" s="45">
        <v>0</v>
      </c>
      <c r="HD80" s="45">
        <v>0</v>
      </c>
      <c r="HE80" s="15">
        <v>0</v>
      </c>
      <c r="HF80" s="15">
        <v>0</v>
      </c>
      <c r="HG80" s="45">
        <v>0</v>
      </c>
      <c r="HH80" s="45">
        <v>0</v>
      </c>
      <c r="HI80" s="45">
        <v>1</v>
      </c>
      <c r="HJ80" s="45">
        <v>0</v>
      </c>
      <c r="HK80" s="45">
        <v>0</v>
      </c>
      <c r="HL80" s="45">
        <v>1</v>
      </c>
      <c r="HM80" s="45">
        <v>0</v>
      </c>
      <c r="HN80" s="45">
        <v>0</v>
      </c>
      <c r="HO80" s="45">
        <v>1</v>
      </c>
      <c r="HP80" s="45">
        <v>0</v>
      </c>
      <c r="HQ80" s="45">
        <v>0</v>
      </c>
      <c r="HR80" s="45">
        <v>0</v>
      </c>
      <c r="HS80" s="45">
        <v>0</v>
      </c>
      <c r="HT80" s="45">
        <v>1</v>
      </c>
      <c r="HU80" s="45">
        <v>1</v>
      </c>
      <c r="HV80" s="45">
        <v>0</v>
      </c>
      <c r="HW80" s="45">
        <v>0</v>
      </c>
      <c r="HX80" s="45">
        <v>0</v>
      </c>
      <c r="HY80" s="45"/>
      <c r="HZ80" s="45"/>
      <c r="IA80" s="45"/>
      <c r="IB80" s="45"/>
      <c r="IC80" s="45"/>
      <c r="ID80" s="45"/>
      <c r="IE80" s="45"/>
      <c r="IF80" s="45"/>
      <c r="IG80" s="45"/>
      <c r="IH80" s="45"/>
      <c r="II80" s="45"/>
      <c r="IJ80" s="45"/>
      <c r="IK80" s="45"/>
      <c r="IL80" s="45"/>
      <c r="IM80" s="45"/>
      <c r="IN80" s="45"/>
      <c r="IO80" s="45"/>
      <c r="IP80" s="45"/>
      <c r="IQ80" s="45"/>
      <c r="IR80" s="45"/>
      <c r="IS80" s="45"/>
      <c r="IT80" s="45"/>
      <c r="IU80" s="45"/>
      <c r="IV80" s="45"/>
      <c r="IW80" s="45"/>
      <c r="IX80" s="45"/>
      <c r="IY80" s="45"/>
      <c r="IZ80" s="45"/>
      <c r="JA80" s="45"/>
      <c r="JB80" s="45"/>
      <c r="JC80" s="45"/>
      <c r="JD80" s="45"/>
      <c r="JE80" s="45"/>
      <c r="JF80" s="45"/>
      <c r="JG80" s="45"/>
      <c r="JH80" s="45"/>
      <c r="JI80" s="45"/>
      <c r="JJ80" s="45"/>
      <c r="JK80" s="45"/>
      <c r="JL80" s="45"/>
      <c r="JM80" s="45"/>
      <c r="JN80" s="45"/>
      <c r="JO80" s="45"/>
      <c r="JP80" s="45"/>
      <c r="JQ80" s="45"/>
      <c r="JR80" s="45"/>
      <c r="JS80" s="45"/>
      <c r="JT80" s="45"/>
      <c r="JU80" s="45"/>
      <c r="JV80" s="45"/>
      <c r="JW80" s="45"/>
      <c r="JX80" s="45"/>
      <c r="JY80" s="45"/>
      <c r="JZ80" s="45"/>
      <c r="KA80" s="45"/>
      <c r="KB80" s="45"/>
      <c r="KC80" s="45"/>
      <c r="KD80" s="45"/>
      <c r="KE80" s="45"/>
      <c r="KF80" s="45"/>
      <c r="KG80"/>
      <c r="KH80"/>
      <c r="KI80">
        <v>1</v>
      </c>
      <c r="KJ80">
        <v>0</v>
      </c>
      <c r="KK80">
        <v>1</v>
      </c>
      <c r="KL80">
        <v>0</v>
      </c>
      <c r="KM80">
        <v>1</v>
      </c>
      <c r="KN80">
        <v>0</v>
      </c>
      <c r="KO80">
        <v>0</v>
      </c>
      <c r="KP80">
        <v>0</v>
      </c>
      <c r="KQ80">
        <v>0</v>
      </c>
      <c r="KR80">
        <v>1</v>
      </c>
      <c r="KS80">
        <v>0</v>
      </c>
      <c r="KT80">
        <v>1</v>
      </c>
      <c r="KU80">
        <v>0</v>
      </c>
      <c r="KV80">
        <v>0</v>
      </c>
      <c r="KW80">
        <v>0</v>
      </c>
      <c r="KX80">
        <v>0</v>
      </c>
      <c r="KY80">
        <v>1</v>
      </c>
      <c r="KZ80">
        <v>0</v>
      </c>
      <c r="LA80">
        <v>0</v>
      </c>
      <c r="LB80">
        <v>0</v>
      </c>
      <c r="LC80">
        <v>1</v>
      </c>
      <c r="LD80">
        <v>0</v>
      </c>
      <c r="LE80">
        <v>1</v>
      </c>
      <c r="LF80">
        <v>1</v>
      </c>
      <c r="LG80">
        <v>0</v>
      </c>
      <c r="LH80">
        <v>1</v>
      </c>
      <c r="LI80">
        <v>1</v>
      </c>
      <c r="LJ80">
        <v>0</v>
      </c>
      <c r="LK80">
        <v>1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1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1</v>
      </c>
      <c r="LZ80">
        <v>0</v>
      </c>
      <c r="MA80">
        <v>0</v>
      </c>
      <c r="MB80">
        <v>1</v>
      </c>
      <c r="MC80">
        <v>0</v>
      </c>
      <c r="MD80">
        <v>0</v>
      </c>
      <c r="ME80">
        <v>1</v>
      </c>
      <c r="MF80">
        <v>0</v>
      </c>
      <c r="MG80">
        <v>0</v>
      </c>
      <c r="MH80">
        <v>0</v>
      </c>
      <c r="MI80">
        <v>0</v>
      </c>
      <c r="MJ80">
        <v>1</v>
      </c>
      <c r="MK80">
        <v>1</v>
      </c>
      <c r="ML80">
        <v>0</v>
      </c>
      <c r="MM80">
        <v>0</v>
      </c>
      <c r="MN80">
        <v>0</v>
      </c>
      <c r="MO80">
        <v>0</v>
      </c>
      <c r="MP80">
        <v>0</v>
      </c>
      <c r="MQ80">
        <f t="shared" si="37"/>
        <v>0</v>
      </c>
      <c r="MR80">
        <f t="shared" si="38"/>
        <v>0</v>
      </c>
    </row>
    <row r="81" spans="1:358" s="39" customFormat="1" ht="18" x14ac:dyDescent="0.25">
      <c r="A81" t="s">
        <v>473</v>
      </c>
      <c r="B81" s="40">
        <v>52</v>
      </c>
      <c r="C81" s="40">
        <v>0</v>
      </c>
      <c r="D81" s="40">
        <v>1</v>
      </c>
      <c r="E81" s="41">
        <v>43623</v>
      </c>
      <c r="F81" s="61">
        <v>0</v>
      </c>
      <c r="G81" s="61"/>
      <c r="H81" s="58">
        <v>0</v>
      </c>
      <c r="I81" s="58"/>
      <c r="J81" s="58"/>
      <c r="K81" s="42">
        <v>43623</v>
      </c>
      <c r="L81" s="65">
        <v>1</v>
      </c>
      <c r="M81" s="42">
        <v>43703</v>
      </c>
      <c r="N81" s="40">
        <v>0</v>
      </c>
      <c r="O81" s="42">
        <v>44946</v>
      </c>
      <c r="P81" s="64">
        <f t="shared" si="32"/>
        <v>1323</v>
      </c>
      <c r="Q81" s="39">
        <v>1</v>
      </c>
      <c r="R81" s="39">
        <v>0</v>
      </c>
      <c r="S81" s="39">
        <v>0</v>
      </c>
      <c r="T81" s="39">
        <v>95</v>
      </c>
      <c r="U81" s="39">
        <v>1</v>
      </c>
      <c r="V81" s="39">
        <v>0</v>
      </c>
      <c r="W81" s="39">
        <v>0</v>
      </c>
      <c r="X81" s="39">
        <v>0</v>
      </c>
      <c r="Y81" s="39">
        <v>0</v>
      </c>
      <c r="Z81" s="39">
        <v>0</v>
      </c>
      <c r="AA81" s="39">
        <v>0</v>
      </c>
      <c r="AB81" s="39">
        <v>0</v>
      </c>
      <c r="AC81" s="39">
        <v>0</v>
      </c>
      <c r="AD81" s="39">
        <v>0</v>
      </c>
      <c r="AE81" s="39">
        <v>0</v>
      </c>
      <c r="AF81" s="39">
        <v>0</v>
      </c>
      <c r="AG81" s="39">
        <v>0</v>
      </c>
      <c r="AH81" s="39">
        <v>0</v>
      </c>
      <c r="AI81" s="39">
        <v>0</v>
      </c>
      <c r="AJ81" s="39">
        <v>0</v>
      </c>
      <c r="AK81" s="39">
        <v>0</v>
      </c>
      <c r="AL81" s="39">
        <v>0</v>
      </c>
      <c r="AM81" s="39">
        <v>0</v>
      </c>
      <c r="AN81" s="39">
        <v>92</v>
      </c>
      <c r="AO81" s="39">
        <v>174</v>
      </c>
      <c r="AP81" s="39">
        <v>30.4</v>
      </c>
      <c r="AQ81" s="39">
        <v>38.6</v>
      </c>
      <c r="AR81" s="39">
        <v>158</v>
      </c>
      <c r="AS81" s="39">
        <v>94</v>
      </c>
      <c r="AT81" s="39">
        <v>2</v>
      </c>
      <c r="AU81">
        <v>0</v>
      </c>
      <c r="AV81" s="39">
        <v>30</v>
      </c>
      <c r="AW81" s="43">
        <v>43622</v>
      </c>
      <c r="AX81" s="43">
        <v>43623</v>
      </c>
      <c r="AY81" s="39">
        <v>0</v>
      </c>
      <c r="AZ81" s="43">
        <v>43619</v>
      </c>
      <c r="BA81" s="39">
        <v>1</v>
      </c>
      <c r="BB81" s="39">
        <v>0</v>
      </c>
      <c r="BC81" s="39">
        <v>0</v>
      </c>
      <c r="BD81" s="39">
        <v>1</v>
      </c>
      <c r="BE81" s="39">
        <v>0</v>
      </c>
      <c r="BF81" s="39">
        <v>0</v>
      </c>
      <c r="BG81" s="39">
        <v>0</v>
      </c>
      <c r="BH81" s="39">
        <v>0</v>
      </c>
      <c r="BI81" s="39">
        <v>1</v>
      </c>
      <c r="BJ81">
        <v>0</v>
      </c>
      <c r="BK81">
        <v>0</v>
      </c>
      <c r="BL81">
        <v>0</v>
      </c>
      <c r="BM81" s="66">
        <v>1</v>
      </c>
      <c r="BN81">
        <v>0</v>
      </c>
      <c r="BO81">
        <v>0</v>
      </c>
      <c r="BP81" s="66">
        <f t="shared" si="42"/>
        <v>1</v>
      </c>
      <c r="BQ81">
        <v>0</v>
      </c>
      <c r="BR81">
        <v>0</v>
      </c>
      <c r="BS81">
        <v>0</v>
      </c>
      <c r="BT81">
        <v>0</v>
      </c>
      <c r="BU81" s="66">
        <f t="shared" si="43"/>
        <v>1</v>
      </c>
      <c r="BV81">
        <v>0</v>
      </c>
      <c r="BW81">
        <v>0</v>
      </c>
      <c r="BX81" s="66">
        <f t="shared" si="33"/>
        <v>1</v>
      </c>
      <c r="BY81">
        <v>0</v>
      </c>
      <c r="BZ81">
        <f t="shared" si="34"/>
        <v>0</v>
      </c>
      <c r="CA81" s="39">
        <v>1</v>
      </c>
      <c r="CB81" s="39">
        <v>0</v>
      </c>
      <c r="CC81" s="39">
        <v>3</v>
      </c>
      <c r="CD81" s="39">
        <v>0</v>
      </c>
      <c r="CE81" s="39">
        <v>0</v>
      </c>
      <c r="CF81" s="39">
        <v>1</v>
      </c>
      <c r="CG81" s="39">
        <v>0</v>
      </c>
      <c r="CH81" s="39">
        <v>0</v>
      </c>
      <c r="CI81" s="39">
        <v>0</v>
      </c>
      <c r="CJ81" s="39">
        <v>0</v>
      </c>
      <c r="CK81" s="39">
        <v>0</v>
      </c>
      <c r="CL81" s="39">
        <v>0</v>
      </c>
      <c r="CM81" s="39">
        <v>0</v>
      </c>
      <c r="CN81" s="39">
        <v>0</v>
      </c>
      <c r="CO81">
        <v>1</v>
      </c>
      <c r="CP81" s="39">
        <v>0</v>
      </c>
      <c r="CQ81" s="39">
        <v>0</v>
      </c>
      <c r="CR81" s="39">
        <v>0</v>
      </c>
      <c r="CS81" s="39">
        <v>0</v>
      </c>
      <c r="CT81" s="39">
        <v>0</v>
      </c>
      <c r="CU81" s="39">
        <v>0</v>
      </c>
      <c r="CV81" s="39">
        <v>0</v>
      </c>
      <c r="CW81" s="31"/>
      <c r="DA81" s="43">
        <v>43623</v>
      </c>
      <c r="DB81" s="66">
        <f t="shared" si="35"/>
        <v>4</v>
      </c>
      <c r="DC81" s="39" t="s">
        <v>3</v>
      </c>
      <c r="DD81" s="39">
        <v>1</v>
      </c>
      <c r="DE81" s="43">
        <v>43625</v>
      </c>
      <c r="DF81" s="39">
        <v>3</v>
      </c>
      <c r="DG81" s="43">
        <v>43626</v>
      </c>
      <c r="DH81" s="39">
        <v>10</v>
      </c>
      <c r="DI81" s="39">
        <v>8</v>
      </c>
      <c r="DJ81" s="39">
        <v>1.5</v>
      </c>
      <c r="DK81" s="80">
        <v>137</v>
      </c>
      <c r="DO81" s="39">
        <v>4</v>
      </c>
      <c r="DP81" s="39">
        <v>137</v>
      </c>
      <c r="DR81" s="39">
        <v>77</v>
      </c>
      <c r="DS81" s="39">
        <v>4.4000000000000004</v>
      </c>
      <c r="DW81" s="43">
        <v>43622</v>
      </c>
      <c r="DX81" s="39">
        <v>22</v>
      </c>
      <c r="DY81">
        <f>EA81</f>
        <v>22</v>
      </c>
      <c r="DZ81">
        <v>1</v>
      </c>
      <c r="EA81" s="39">
        <v>22</v>
      </c>
      <c r="EB81">
        <v>1</v>
      </c>
      <c r="EC81" s="39">
        <v>7.5</v>
      </c>
      <c r="ED81">
        <f>EF81</f>
        <v>7.5</v>
      </c>
      <c r="EE81">
        <v>1</v>
      </c>
      <c r="EF81" s="39">
        <v>7.5</v>
      </c>
      <c r="EG81">
        <v>1</v>
      </c>
      <c r="EH81" s="39">
        <v>160</v>
      </c>
      <c r="EI81" s="62">
        <v>1.2250000000000001</v>
      </c>
      <c r="EJ81" s="39">
        <v>196</v>
      </c>
      <c r="EK81">
        <v>0</v>
      </c>
      <c r="EL81">
        <f t="shared" si="36"/>
        <v>36</v>
      </c>
      <c r="EM81" s="39">
        <v>196</v>
      </c>
      <c r="EN81">
        <v>0</v>
      </c>
      <c r="ER81" s="39">
        <v>27</v>
      </c>
      <c r="ET81" s="39">
        <v>462</v>
      </c>
      <c r="EU81" s="39">
        <v>1261</v>
      </c>
      <c r="EV81" s="39">
        <v>47</v>
      </c>
      <c r="EW81" s="39">
        <v>67</v>
      </c>
      <c r="EX81" s="39">
        <v>24</v>
      </c>
      <c r="EY81" s="39">
        <v>14</v>
      </c>
      <c r="FB81">
        <v>0</v>
      </c>
      <c r="FC81" s="39">
        <v>1</v>
      </c>
      <c r="FD81" s="39">
        <v>0</v>
      </c>
      <c r="FF81" s="39">
        <v>1</v>
      </c>
      <c r="FG81">
        <v>1</v>
      </c>
      <c r="FH81" s="43">
        <v>43626</v>
      </c>
      <c r="FI81">
        <v>1</v>
      </c>
      <c r="FJ81" s="1" t="e">
        <f>#REF!</f>
        <v>#REF!</v>
      </c>
      <c r="FK81" s="39">
        <v>0</v>
      </c>
      <c r="FL81">
        <v>1</v>
      </c>
      <c r="FM81" s="39">
        <v>165</v>
      </c>
      <c r="FN81" s="39">
        <v>100</v>
      </c>
      <c r="FO81">
        <v>0</v>
      </c>
      <c r="FQ81" s="44">
        <v>43623</v>
      </c>
      <c r="FR81" s="45" t="s">
        <v>230</v>
      </c>
      <c r="FS81" s="45">
        <v>1</v>
      </c>
      <c r="FT81" s="45">
        <v>0</v>
      </c>
      <c r="FU81" s="45">
        <v>0</v>
      </c>
      <c r="FV81" s="45">
        <v>0</v>
      </c>
      <c r="FW81" s="45">
        <v>1</v>
      </c>
      <c r="FX81" s="45"/>
      <c r="FY81" s="45"/>
      <c r="FZ81" s="45"/>
      <c r="GA81" s="45"/>
      <c r="GB81" s="45"/>
      <c r="GC81" s="45">
        <v>1</v>
      </c>
      <c r="GD81" s="45">
        <v>1</v>
      </c>
      <c r="GE81" s="45">
        <v>1</v>
      </c>
      <c r="GF81" s="45"/>
      <c r="GG81" s="45"/>
      <c r="GH81" s="45"/>
      <c r="GI81" s="45"/>
      <c r="GJ81" s="45"/>
      <c r="GK81" s="45"/>
      <c r="GL81" s="45">
        <v>0</v>
      </c>
      <c r="GM81" s="45">
        <v>0</v>
      </c>
      <c r="GN81" s="45">
        <v>1</v>
      </c>
      <c r="GO81" s="45">
        <v>1</v>
      </c>
      <c r="GP81" s="45"/>
      <c r="GQ81" s="45"/>
      <c r="GR81" s="45">
        <v>1</v>
      </c>
      <c r="GS81" s="45">
        <v>1</v>
      </c>
      <c r="GT81" s="45">
        <v>0</v>
      </c>
      <c r="GU81" s="45"/>
      <c r="GV81" s="45"/>
      <c r="GW81" s="45"/>
      <c r="GX81" s="45"/>
      <c r="GY81" s="45"/>
      <c r="GZ81" s="45"/>
      <c r="HA81" s="45"/>
      <c r="HB81" s="45"/>
      <c r="HC81" s="45"/>
      <c r="HD81" s="45"/>
      <c r="HE81" s="45"/>
      <c r="HF81" s="45"/>
      <c r="HG81" s="45"/>
      <c r="HH81" s="45">
        <v>1</v>
      </c>
      <c r="HI81" s="45">
        <v>1</v>
      </c>
      <c r="HJ81" s="45"/>
      <c r="HK81" s="45"/>
      <c r="HL81" s="45"/>
      <c r="HM81" s="45">
        <v>0</v>
      </c>
      <c r="HN81" s="45"/>
      <c r="HO81" s="45">
        <v>1</v>
      </c>
      <c r="HP81" s="45">
        <v>0</v>
      </c>
      <c r="HQ81" s="45">
        <v>0</v>
      </c>
      <c r="HR81" s="45">
        <v>0</v>
      </c>
      <c r="HS81" s="45">
        <v>0</v>
      </c>
      <c r="HT81" s="45">
        <v>1</v>
      </c>
      <c r="HU81" s="45">
        <v>1</v>
      </c>
      <c r="HV81" s="45">
        <v>0</v>
      </c>
      <c r="HW81" s="45">
        <v>0</v>
      </c>
      <c r="HX81" s="45">
        <v>0</v>
      </c>
      <c r="HY81" s="45"/>
      <c r="HZ81" s="45"/>
      <c r="IA81" s="45"/>
      <c r="IB81" s="45"/>
      <c r="IC81" s="45"/>
      <c r="ID81" s="45"/>
      <c r="IE81" s="45"/>
      <c r="IF81" s="45"/>
      <c r="IG81" s="45"/>
      <c r="IH81" s="45"/>
      <c r="II81" s="45"/>
      <c r="IJ81" s="45"/>
      <c r="IK81" s="45"/>
      <c r="IL81" s="45"/>
      <c r="IM81" s="45"/>
      <c r="IN81" s="45"/>
      <c r="IO81" s="45"/>
      <c r="IP81" s="45"/>
      <c r="IQ81" s="45"/>
      <c r="IR81" s="45"/>
      <c r="IS81" s="45"/>
      <c r="IT81" s="45"/>
      <c r="IU81" s="45"/>
      <c r="IV81" s="45"/>
      <c r="IW81" s="45"/>
      <c r="IX81" s="45"/>
      <c r="IY81" s="45"/>
      <c r="IZ81" s="45"/>
      <c r="JA81" s="45"/>
      <c r="JB81" s="45"/>
      <c r="JC81" s="45"/>
      <c r="JD81" s="45"/>
      <c r="JE81" s="45"/>
      <c r="JF81" s="45"/>
      <c r="JG81" s="45"/>
      <c r="JH81" s="45"/>
      <c r="JI81" s="45"/>
      <c r="JJ81" s="45"/>
      <c r="JK81" s="45"/>
      <c r="JL81" s="45"/>
      <c r="JM81" s="45"/>
      <c r="JN81" s="45"/>
      <c r="JO81" s="45"/>
      <c r="JP81" s="45"/>
      <c r="JQ81" s="45"/>
      <c r="JR81" s="45"/>
      <c r="JS81" s="45"/>
      <c r="JT81" s="45"/>
      <c r="JU81" s="45"/>
      <c r="JV81" s="45"/>
      <c r="JW81" s="45"/>
      <c r="JX81" s="45"/>
      <c r="JY81" s="45"/>
      <c r="JZ81" s="45"/>
      <c r="KA81" s="45"/>
      <c r="KB81" s="45"/>
      <c r="KC81" s="45"/>
      <c r="KD81" s="45"/>
      <c r="KE81" s="45"/>
      <c r="KF81" s="45"/>
      <c r="KG81"/>
      <c r="KH81"/>
      <c r="KI81">
        <v>1</v>
      </c>
      <c r="KJ81">
        <v>0</v>
      </c>
      <c r="KK81">
        <v>0</v>
      </c>
      <c r="KL81">
        <v>0</v>
      </c>
      <c r="KM81">
        <v>1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1</v>
      </c>
      <c r="KT81">
        <v>1</v>
      </c>
      <c r="KU81">
        <v>1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1</v>
      </c>
      <c r="LE81">
        <v>1</v>
      </c>
      <c r="LF81">
        <v>0</v>
      </c>
      <c r="LG81">
        <v>0</v>
      </c>
      <c r="LH81">
        <v>1</v>
      </c>
      <c r="LI81">
        <v>1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1</v>
      </c>
      <c r="LY81">
        <v>1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1</v>
      </c>
      <c r="MF81">
        <v>0</v>
      </c>
      <c r="MG81">
        <v>0</v>
      </c>
      <c r="MH81">
        <v>0</v>
      </c>
      <c r="MI81">
        <v>0</v>
      </c>
      <c r="MJ81">
        <v>1</v>
      </c>
      <c r="MK81">
        <v>1</v>
      </c>
      <c r="ML81">
        <v>0</v>
      </c>
      <c r="MM81">
        <v>0</v>
      </c>
      <c r="MN81">
        <v>0</v>
      </c>
      <c r="MO81">
        <v>0</v>
      </c>
      <c r="MP81">
        <v>0</v>
      </c>
      <c r="MQ81">
        <f t="shared" si="37"/>
        <v>0</v>
      </c>
      <c r="MR81">
        <f t="shared" si="38"/>
        <v>0</v>
      </c>
    </row>
    <row r="82" spans="1:358" s="39" customFormat="1" ht="18" x14ac:dyDescent="0.25">
      <c r="A82" t="s">
        <v>474</v>
      </c>
      <c r="B82" s="40">
        <v>77</v>
      </c>
      <c r="C82" s="40">
        <v>0</v>
      </c>
      <c r="D82" s="40">
        <v>0</v>
      </c>
      <c r="E82" s="40"/>
      <c r="F82" s="55">
        <v>1177</v>
      </c>
      <c r="G82" s="55"/>
      <c r="H82" s="57">
        <v>0</v>
      </c>
      <c r="I82" s="57">
        <v>0</v>
      </c>
      <c r="J82" s="57"/>
      <c r="K82" s="40"/>
      <c r="L82" s="40"/>
      <c r="M82" s="40"/>
      <c r="N82" s="40">
        <v>1</v>
      </c>
      <c r="O82" s="42">
        <v>44588</v>
      </c>
      <c r="P82" s="64">
        <f t="shared" si="32"/>
        <v>1177</v>
      </c>
      <c r="Q82" s="39">
        <v>1</v>
      </c>
      <c r="R82" s="39">
        <v>0</v>
      </c>
      <c r="S82" s="39">
        <v>1</v>
      </c>
      <c r="T82" s="39">
        <v>75</v>
      </c>
      <c r="U82" s="39">
        <v>1</v>
      </c>
      <c r="V82" s="39">
        <v>1</v>
      </c>
      <c r="W82" s="39">
        <v>0</v>
      </c>
      <c r="X82" s="39">
        <v>0</v>
      </c>
      <c r="Y82" s="39">
        <v>1</v>
      </c>
      <c r="Z82" s="39">
        <v>1</v>
      </c>
      <c r="AA82" s="39">
        <v>0</v>
      </c>
      <c r="AB82" s="39">
        <v>0</v>
      </c>
      <c r="AC82" s="39">
        <v>1</v>
      </c>
      <c r="AD82" s="39">
        <v>0</v>
      </c>
      <c r="AE82" s="39">
        <v>0</v>
      </c>
      <c r="AF82" s="39">
        <v>0</v>
      </c>
      <c r="AG82" s="39">
        <v>0</v>
      </c>
      <c r="AH82" s="39">
        <v>0</v>
      </c>
      <c r="AI82" s="39">
        <v>1</v>
      </c>
      <c r="AJ82" s="39">
        <v>0</v>
      </c>
      <c r="AK82" s="39">
        <v>0</v>
      </c>
      <c r="AL82" s="39">
        <v>0</v>
      </c>
      <c r="AM82" s="39">
        <v>1</v>
      </c>
      <c r="AN82" s="39">
        <v>57</v>
      </c>
      <c r="AO82" s="39">
        <v>170</v>
      </c>
      <c r="AP82" s="39">
        <v>19.7</v>
      </c>
      <c r="AQ82" s="39">
        <v>37.1</v>
      </c>
      <c r="AR82" s="39">
        <v>120</v>
      </c>
      <c r="AS82" s="39">
        <v>70</v>
      </c>
      <c r="AT82" s="39">
        <v>2</v>
      </c>
      <c r="AU82">
        <v>0</v>
      </c>
      <c r="AV82" s="39">
        <v>91</v>
      </c>
      <c r="AW82" s="43">
        <v>43411</v>
      </c>
      <c r="AX82" s="43">
        <v>43411</v>
      </c>
      <c r="AY82" s="39">
        <v>0</v>
      </c>
      <c r="AZ82" s="43">
        <v>43405</v>
      </c>
      <c r="BA82" s="39">
        <v>1</v>
      </c>
      <c r="BB82" s="39">
        <v>0</v>
      </c>
      <c r="BC82" s="39">
        <v>0</v>
      </c>
      <c r="BD82" s="39">
        <v>1</v>
      </c>
      <c r="BE82" s="39">
        <v>0</v>
      </c>
      <c r="BF82" s="39">
        <v>1</v>
      </c>
      <c r="BG82" s="39">
        <v>0</v>
      </c>
      <c r="BH82" s="39">
        <v>0</v>
      </c>
      <c r="BI82" s="39">
        <v>0</v>
      </c>
      <c r="BJ82">
        <v>0</v>
      </c>
      <c r="BK82">
        <v>0</v>
      </c>
      <c r="BL82">
        <v>0</v>
      </c>
      <c r="BM82" s="66">
        <v>1</v>
      </c>
      <c r="BN82">
        <v>0</v>
      </c>
      <c r="BO82">
        <v>0</v>
      </c>
      <c r="BP82" s="66">
        <f t="shared" si="42"/>
        <v>1</v>
      </c>
      <c r="BQ82">
        <v>0</v>
      </c>
      <c r="BR82">
        <v>0</v>
      </c>
      <c r="BS82">
        <v>0</v>
      </c>
      <c r="BT82">
        <v>0</v>
      </c>
      <c r="BU82" s="66">
        <f t="shared" si="43"/>
        <v>1</v>
      </c>
      <c r="BV82">
        <v>0</v>
      </c>
      <c r="BW82">
        <v>0</v>
      </c>
      <c r="BX82" s="66">
        <f t="shared" si="33"/>
        <v>1</v>
      </c>
      <c r="BY82">
        <v>0</v>
      </c>
      <c r="BZ82">
        <f t="shared" si="34"/>
        <v>0</v>
      </c>
      <c r="CA82" s="39">
        <v>1</v>
      </c>
      <c r="CB82" s="39">
        <v>0</v>
      </c>
      <c r="CD82" s="39">
        <v>0</v>
      </c>
      <c r="CE82" s="39">
        <v>0</v>
      </c>
      <c r="CF82" s="39">
        <v>0</v>
      </c>
      <c r="CG82" s="39">
        <v>0</v>
      </c>
      <c r="CH82" s="39">
        <v>0</v>
      </c>
      <c r="CI82" s="39">
        <v>0</v>
      </c>
      <c r="CJ82" s="39">
        <v>0</v>
      </c>
      <c r="CK82" s="39">
        <v>0</v>
      </c>
      <c r="CL82" s="39">
        <v>0</v>
      </c>
      <c r="CM82" s="39">
        <v>0</v>
      </c>
      <c r="CN82" s="39">
        <v>0</v>
      </c>
      <c r="CO82">
        <f t="shared" si="39"/>
        <v>0</v>
      </c>
      <c r="CP82" s="39">
        <v>0</v>
      </c>
      <c r="CQ82" s="39">
        <v>1</v>
      </c>
      <c r="CR82" s="39">
        <v>0</v>
      </c>
      <c r="CS82" s="39">
        <v>0</v>
      </c>
      <c r="CT82" s="39">
        <v>1</v>
      </c>
      <c r="CU82" s="39">
        <v>0</v>
      </c>
      <c r="CV82" s="39">
        <v>0</v>
      </c>
      <c r="CW82" s="31"/>
      <c r="CX82" s="39">
        <v>1</v>
      </c>
      <c r="CY82">
        <v>0</v>
      </c>
      <c r="DA82" s="43">
        <v>43413</v>
      </c>
      <c r="DB82" s="66">
        <f t="shared" si="35"/>
        <v>8</v>
      </c>
      <c r="DC82" s="39" t="s">
        <v>1</v>
      </c>
      <c r="DD82" s="39">
        <v>0</v>
      </c>
      <c r="DE82" s="43">
        <v>43426</v>
      </c>
      <c r="DF82" s="39">
        <v>14</v>
      </c>
      <c r="DG82" s="43">
        <v>43413</v>
      </c>
      <c r="DH82" s="39">
        <v>12</v>
      </c>
      <c r="DI82" s="39">
        <v>15.9</v>
      </c>
      <c r="DJ82" s="39">
        <v>0.5</v>
      </c>
      <c r="DK82" s="80">
        <v>105</v>
      </c>
      <c r="DL82" s="39">
        <v>2</v>
      </c>
      <c r="DM82" s="39">
        <v>59</v>
      </c>
      <c r="DO82" s="39">
        <v>1</v>
      </c>
      <c r="DP82" s="39">
        <v>105</v>
      </c>
      <c r="DR82" s="39">
        <v>67</v>
      </c>
      <c r="DS82" s="39">
        <v>5.2</v>
      </c>
      <c r="DU82" s="39">
        <v>37</v>
      </c>
      <c r="DW82" s="43">
        <v>43411</v>
      </c>
      <c r="DX82" s="39">
        <v>7.5</v>
      </c>
      <c r="DY82" s="39">
        <v>18.7</v>
      </c>
      <c r="DZ82">
        <v>1</v>
      </c>
      <c r="EA82" s="39">
        <v>20.6</v>
      </c>
      <c r="EB82">
        <v>1</v>
      </c>
      <c r="EC82" s="39">
        <v>2.2000000000000002</v>
      </c>
      <c r="ED82" s="39">
        <v>1.55</v>
      </c>
      <c r="EE82">
        <v>1</v>
      </c>
      <c r="EF82" s="39">
        <v>1.55</v>
      </c>
      <c r="EG82">
        <v>0</v>
      </c>
      <c r="EH82" s="39">
        <v>32</v>
      </c>
      <c r="EI82" s="62">
        <v>2.1875</v>
      </c>
      <c r="EJ82" s="39">
        <v>70</v>
      </c>
      <c r="EK82">
        <v>0</v>
      </c>
      <c r="EL82">
        <f t="shared" si="36"/>
        <v>38</v>
      </c>
      <c r="EM82" s="39">
        <v>109</v>
      </c>
      <c r="EN82">
        <v>0</v>
      </c>
      <c r="ER82" s="39">
        <v>23</v>
      </c>
      <c r="ES82" s="39">
        <v>25</v>
      </c>
      <c r="ET82" s="39">
        <v>27</v>
      </c>
      <c r="EU82" s="39">
        <v>12</v>
      </c>
      <c r="EV82" s="39">
        <v>49</v>
      </c>
      <c r="EW82" s="39">
        <v>93</v>
      </c>
      <c r="EX82" s="39">
        <v>15</v>
      </c>
      <c r="EY82" s="39">
        <v>8</v>
      </c>
      <c r="FC82" s="39">
        <v>1</v>
      </c>
      <c r="FD82" s="39">
        <v>0</v>
      </c>
      <c r="FF82" s="39">
        <v>1</v>
      </c>
      <c r="FG82">
        <v>0</v>
      </c>
      <c r="FK82">
        <v>0</v>
      </c>
      <c r="FL82">
        <v>0</v>
      </c>
      <c r="FM82"/>
      <c r="FN82"/>
      <c r="FO82" s="39">
        <v>1</v>
      </c>
      <c r="FP82" s="39" t="s">
        <v>286</v>
      </c>
      <c r="FQ82" s="44">
        <v>43410</v>
      </c>
      <c r="FR82" s="44" t="s">
        <v>230</v>
      </c>
      <c r="FS82" s="45">
        <v>1</v>
      </c>
      <c r="FT82" s="45">
        <v>1</v>
      </c>
      <c r="FU82" s="45">
        <v>1</v>
      </c>
      <c r="FV82" s="45">
        <v>0</v>
      </c>
      <c r="FW82" s="45">
        <v>0</v>
      </c>
      <c r="FX82" s="45">
        <v>0</v>
      </c>
      <c r="FY82" s="45">
        <v>0</v>
      </c>
      <c r="FZ82" s="45">
        <v>0</v>
      </c>
      <c r="GA82" s="45">
        <v>0</v>
      </c>
      <c r="GB82" s="45">
        <v>0</v>
      </c>
      <c r="GC82" s="45">
        <v>0</v>
      </c>
      <c r="GD82" s="45">
        <v>0</v>
      </c>
      <c r="GE82" s="45">
        <v>0</v>
      </c>
      <c r="GF82" s="45">
        <v>0</v>
      </c>
      <c r="GG82" s="45">
        <v>0</v>
      </c>
      <c r="GH82" s="45">
        <v>0</v>
      </c>
      <c r="GI82" s="45">
        <v>0</v>
      </c>
      <c r="GJ82" s="45">
        <v>0</v>
      </c>
      <c r="GK82" s="45">
        <v>0</v>
      </c>
      <c r="GL82" s="45">
        <v>0</v>
      </c>
      <c r="GM82" s="45">
        <v>1</v>
      </c>
      <c r="GN82" s="45">
        <v>0</v>
      </c>
      <c r="GO82" s="45">
        <v>0</v>
      </c>
      <c r="GP82" s="45">
        <v>0</v>
      </c>
      <c r="GQ82" s="45">
        <v>0</v>
      </c>
      <c r="GR82" s="45">
        <v>0</v>
      </c>
      <c r="GS82" s="45">
        <v>0</v>
      </c>
      <c r="GT82" s="45">
        <v>0</v>
      </c>
      <c r="GU82" s="45">
        <v>1</v>
      </c>
      <c r="GV82" s="45">
        <v>0</v>
      </c>
      <c r="GW82" s="45">
        <v>0</v>
      </c>
      <c r="GX82" s="45">
        <v>0</v>
      </c>
      <c r="GY82" s="15">
        <v>0</v>
      </c>
      <c r="GZ82" s="15">
        <v>0</v>
      </c>
      <c r="HA82" s="45">
        <v>0</v>
      </c>
      <c r="HB82" s="45">
        <v>1</v>
      </c>
      <c r="HC82" s="45">
        <v>0</v>
      </c>
      <c r="HD82" s="45">
        <v>0</v>
      </c>
      <c r="HE82" s="15">
        <v>0</v>
      </c>
      <c r="HF82" s="15">
        <v>0</v>
      </c>
      <c r="HG82" s="45">
        <v>0</v>
      </c>
      <c r="HH82" s="45">
        <v>0</v>
      </c>
      <c r="HI82" s="45">
        <v>1</v>
      </c>
      <c r="HJ82" s="45">
        <v>1</v>
      </c>
      <c r="HK82" s="45">
        <v>0</v>
      </c>
      <c r="HL82" s="45">
        <v>1</v>
      </c>
      <c r="HM82" s="45">
        <v>0</v>
      </c>
      <c r="HN82" s="45">
        <v>1</v>
      </c>
      <c r="HO82" s="45">
        <v>1</v>
      </c>
      <c r="HP82" s="45">
        <v>0</v>
      </c>
      <c r="HQ82" s="45">
        <v>0</v>
      </c>
      <c r="HR82" s="45">
        <v>0</v>
      </c>
      <c r="HS82" s="45">
        <v>0</v>
      </c>
      <c r="HT82" s="45">
        <v>1</v>
      </c>
      <c r="HU82" s="45">
        <v>1</v>
      </c>
      <c r="HV82" s="45">
        <v>0</v>
      </c>
      <c r="HW82" s="45">
        <v>0</v>
      </c>
      <c r="HX82" s="45">
        <v>0</v>
      </c>
      <c r="HY82" s="44">
        <v>43411</v>
      </c>
      <c r="HZ82" s="45" t="s">
        <v>230</v>
      </c>
      <c r="IA82" s="45">
        <v>1</v>
      </c>
      <c r="IB82" s="45">
        <v>1</v>
      </c>
      <c r="IC82" s="45">
        <v>1</v>
      </c>
      <c r="ID82" s="45">
        <v>1</v>
      </c>
      <c r="IE82" s="45">
        <v>0</v>
      </c>
      <c r="IF82" s="45">
        <v>0</v>
      </c>
      <c r="IG82" s="45">
        <v>0</v>
      </c>
      <c r="IH82" s="45">
        <v>0</v>
      </c>
      <c r="II82" s="45">
        <v>0</v>
      </c>
      <c r="IJ82" s="45">
        <v>0</v>
      </c>
      <c r="IK82" s="45">
        <v>0</v>
      </c>
      <c r="IL82" s="45">
        <v>0</v>
      </c>
      <c r="IM82" s="45">
        <v>0</v>
      </c>
      <c r="IN82" s="45">
        <v>0</v>
      </c>
      <c r="IO82" s="45">
        <v>0</v>
      </c>
      <c r="IP82" s="45">
        <v>0</v>
      </c>
      <c r="IQ82" s="45">
        <v>0</v>
      </c>
      <c r="IR82" s="45">
        <v>0</v>
      </c>
      <c r="IS82" s="45">
        <v>0</v>
      </c>
      <c r="IT82" s="45">
        <v>1</v>
      </c>
      <c r="IU82" s="45">
        <v>0</v>
      </c>
      <c r="IV82" s="45">
        <v>0</v>
      </c>
      <c r="IW82" s="45">
        <v>0</v>
      </c>
      <c r="IX82" s="45">
        <v>0</v>
      </c>
      <c r="IY82" s="45">
        <v>0</v>
      </c>
      <c r="IZ82" s="45">
        <v>0</v>
      </c>
      <c r="JA82" s="45">
        <v>0</v>
      </c>
      <c r="JB82" s="45">
        <v>0</v>
      </c>
      <c r="JC82" s="45">
        <v>1</v>
      </c>
      <c r="JD82" s="45">
        <v>0</v>
      </c>
      <c r="JE82" s="45">
        <v>0</v>
      </c>
      <c r="JF82" s="45">
        <v>0</v>
      </c>
      <c r="JG82" s="15">
        <v>0</v>
      </c>
      <c r="JH82" s="15">
        <v>0</v>
      </c>
      <c r="JI82" s="45">
        <v>0</v>
      </c>
      <c r="JJ82" s="45">
        <v>1</v>
      </c>
      <c r="JK82" s="45">
        <v>0</v>
      </c>
      <c r="JL82" s="45">
        <v>0</v>
      </c>
      <c r="JM82" s="15">
        <v>0</v>
      </c>
      <c r="JN82" s="15">
        <v>0</v>
      </c>
      <c r="JO82" s="45">
        <v>0</v>
      </c>
      <c r="JP82" s="45">
        <v>0</v>
      </c>
      <c r="JQ82" s="45">
        <v>1</v>
      </c>
      <c r="JR82" s="45">
        <v>1</v>
      </c>
      <c r="JS82" s="45">
        <v>1</v>
      </c>
      <c r="JT82" s="45">
        <v>1</v>
      </c>
      <c r="JU82" s="45">
        <v>0</v>
      </c>
      <c r="JV82" s="45">
        <v>1</v>
      </c>
      <c r="JW82" s="45">
        <v>1</v>
      </c>
      <c r="JX82" s="45">
        <v>0</v>
      </c>
      <c r="JY82" s="45">
        <v>0</v>
      </c>
      <c r="JZ82" s="45">
        <v>0</v>
      </c>
      <c r="KA82" s="45">
        <v>0</v>
      </c>
      <c r="KB82" s="45">
        <v>1</v>
      </c>
      <c r="KC82" s="45">
        <v>1</v>
      </c>
      <c r="KD82" s="45">
        <v>0</v>
      </c>
      <c r="KE82" s="45">
        <v>0</v>
      </c>
      <c r="KF82" s="45">
        <v>0</v>
      </c>
      <c r="KG82"/>
      <c r="KH82"/>
      <c r="KI82">
        <v>1</v>
      </c>
      <c r="KJ82">
        <v>1</v>
      </c>
      <c r="KK82">
        <v>1</v>
      </c>
      <c r="KL82">
        <v>1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1</v>
      </c>
      <c r="LC82">
        <v>1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1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1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1</v>
      </c>
      <c r="LZ82">
        <v>1</v>
      </c>
      <c r="MA82">
        <v>1</v>
      </c>
      <c r="MB82">
        <v>1</v>
      </c>
      <c r="MC82">
        <v>0</v>
      </c>
      <c r="MD82">
        <v>1</v>
      </c>
      <c r="ME82">
        <v>1</v>
      </c>
      <c r="MF82">
        <v>0</v>
      </c>
      <c r="MG82">
        <v>0</v>
      </c>
      <c r="MH82">
        <v>0</v>
      </c>
      <c r="MI82">
        <v>0</v>
      </c>
      <c r="MJ82">
        <v>1</v>
      </c>
      <c r="MK82">
        <v>1</v>
      </c>
      <c r="ML82">
        <v>0</v>
      </c>
      <c r="MM82">
        <v>0</v>
      </c>
      <c r="MN82">
        <v>0</v>
      </c>
      <c r="MO82">
        <v>1</v>
      </c>
      <c r="MP82">
        <v>0</v>
      </c>
      <c r="MQ82">
        <v>1</v>
      </c>
      <c r="MR82">
        <v>1</v>
      </c>
      <c r="MS82">
        <v>1</v>
      </c>
    </row>
    <row r="83" spans="1:358" s="39" customFormat="1" ht="18" x14ac:dyDescent="0.25">
      <c r="A83" t="s">
        <v>475</v>
      </c>
      <c r="B83" s="40">
        <v>74</v>
      </c>
      <c r="C83" s="40">
        <v>0</v>
      </c>
      <c r="D83" s="40">
        <v>1</v>
      </c>
      <c r="E83" s="41">
        <v>42856</v>
      </c>
      <c r="F83" s="61">
        <v>8</v>
      </c>
      <c r="G83" s="61"/>
      <c r="H83" s="58">
        <v>1</v>
      </c>
      <c r="I83" s="57">
        <v>1</v>
      </c>
      <c r="J83" s="58">
        <v>1</v>
      </c>
      <c r="K83" s="42">
        <v>42855</v>
      </c>
      <c r="L83" s="65">
        <v>1</v>
      </c>
      <c r="M83" s="42">
        <v>42998</v>
      </c>
      <c r="N83" s="40">
        <v>0</v>
      </c>
      <c r="O83" s="42">
        <v>44951</v>
      </c>
      <c r="P83" s="64">
        <f t="shared" si="32"/>
        <v>2103</v>
      </c>
      <c r="Q83" s="39">
        <v>1</v>
      </c>
      <c r="R83" s="39">
        <v>1</v>
      </c>
      <c r="S83" s="39">
        <v>0</v>
      </c>
      <c r="T83" s="39">
        <v>91</v>
      </c>
      <c r="U83" s="39">
        <v>0</v>
      </c>
      <c r="V83" s="39">
        <v>1</v>
      </c>
      <c r="W83" s="39">
        <v>0</v>
      </c>
      <c r="X83" s="39">
        <v>0</v>
      </c>
      <c r="Y83" s="39">
        <v>1</v>
      </c>
      <c r="Z83" s="39">
        <v>1</v>
      </c>
      <c r="AA83" s="39">
        <v>0</v>
      </c>
      <c r="AB83" s="39">
        <v>0</v>
      </c>
      <c r="AC83" s="39">
        <v>0</v>
      </c>
      <c r="AD83" s="39">
        <v>0</v>
      </c>
      <c r="AE83" s="39">
        <v>0</v>
      </c>
      <c r="AF83" s="39">
        <v>0</v>
      </c>
      <c r="AG83" s="39">
        <v>0</v>
      </c>
      <c r="AH83" s="39">
        <v>0</v>
      </c>
      <c r="AI83" s="39">
        <v>0</v>
      </c>
      <c r="AJ83" s="39">
        <v>0</v>
      </c>
      <c r="AK83" s="39">
        <v>0</v>
      </c>
      <c r="AL83" s="39">
        <v>0</v>
      </c>
      <c r="AM83" s="39">
        <v>0</v>
      </c>
      <c r="AN83" s="39">
        <v>71</v>
      </c>
      <c r="AO83" s="39">
        <v>164</v>
      </c>
      <c r="AP83" s="39">
        <v>26.4</v>
      </c>
      <c r="AQ83" s="39">
        <v>37.799999999999997</v>
      </c>
      <c r="AR83" s="39">
        <v>161</v>
      </c>
      <c r="AS83" s="39">
        <v>180</v>
      </c>
      <c r="AT83" s="39">
        <v>3</v>
      </c>
      <c r="AU83">
        <v>1</v>
      </c>
      <c r="AV83" s="39">
        <v>62</v>
      </c>
      <c r="AW83" s="43">
        <v>42848</v>
      </c>
      <c r="AX83" s="43">
        <v>42848</v>
      </c>
      <c r="AY83" s="39">
        <v>0</v>
      </c>
      <c r="AZ83" s="43">
        <v>42847</v>
      </c>
      <c r="BA83" s="39">
        <v>1</v>
      </c>
      <c r="BB83" s="39">
        <v>1</v>
      </c>
      <c r="BC83" s="39">
        <v>0</v>
      </c>
      <c r="BD83" s="39">
        <v>0</v>
      </c>
      <c r="BE83" s="39">
        <v>0</v>
      </c>
      <c r="BF83" s="39">
        <v>0</v>
      </c>
      <c r="BG83" s="39">
        <v>0</v>
      </c>
      <c r="BH83" s="39">
        <v>1</v>
      </c>
      <c r="BI83" s="39">
        <v>1</v>
      </c>
      <c r="BJ83" s="78">
        <v>0</v>
      </c>
      <c r="BK83" s="78">
        <v>0</v>
      </c>
      <c r="BL83" s="78">
        <v>0</v>
      </c>
      <c r="BM83" s="66">
        <v>0</v>
      </c>
      <c r="BN83" s="78">
        <v>0</v>
      </c>
      <c r="BO83" s="78">
        <v>0</v>
      </c>
      <c r="BP83" s="78">
        <v>0</v>
      </c>
      <c r="BQ83">
        <v>0</v>
      </c>
      <c r="BR83" s="78">
        <v>0</v>
      </c>
      <c r="BS83" s="78">
        <v>0</v>
      </c>
      <c r="BT83" s="78">
        <v>1</v>
      </c>
      <c r="BU83" s="78">
        <v>0</v>
      </c>
      <c r="BV83" s="78">
        <v>1</v>
      </c>
      <c r="BW83" s="78">
        <v>0</v>
      </c>
      <c r="BX83" s="66">
        <f t="shared" si="33"/>
        <v>2</v>
      </c>
      <c r="BY83" s="78">
        <v>0</v>
      </c>
      <c r="BZ83">
        <f t="shared" si="34"/>
        <v>0</v>
      </c>
      <c r="CA83" s="39">
        <v>1</v>
      </c>
      <c r="CB83" s="39">
        <v>1</v>
      </c>
      <c r="CD83" s="39">
        <v>0</v>
      </c>
      <c r="CE83" s="39">
        <v>0</v>
      </c>
      <c r="CF83" s="39">
        <v>0</v>
      </c>
      <c r="CG83" s="39">
        <v>0</v>
      </c>
      <c r="CH83" s="39">
        <v>0</v>
      </c>
      <c r="CI83" s="39">
        <v>1</v>
      </c>
      <c r="CJ83" s="39">
        <v>0</v>
      </c>
      <c r="CK83" s="39">
        <v>0</v>
      </c>
      <c r="CL83" s="39">
        <v>0</v>
      </c>
      <c r="CM83" s="39">
        <v>0</v>
      </c>
      <c r="CN83" s="39">
        <v>0</v>
      </c>
      <c r="CO83">
        <v>1</v>
      </c>
      <c r="CP83" s="39">
        <v>0</v>
      </c>
      <c r="CQ83" s="39">
        <v>0</v>
      </c>
      <c r="CR83" s="39">
        <v>0</v>
      </c>
      <c r="CS83" s="39">
        <v>0</v>
      </c>
      <c r="CT83" s="39">
        <v>0</v>
      </c>
      <c r="CU83" s="39">
        <v>0</v>
      </c>
      <c r="CV83" s="39">
        <v>0</v>
      </c>
      <c r="CW83" s="31"/>
      <c r="CX83" s="39">
        <v>0</v>
      </c>
      <c r="CY83">
        <v>0</v>
      </c>
      <c r="DA83" s="43">
        <v>42848</v>
      </c>
      <c r="DB83" s="66">
        <f t="shared" si="35"/>
        <v>1</v>
      </c>
      <c r="DC83" s="39" t="s">
        <v>1</v>
      </c>
      <c r="DD83" s="39">
        <v>1</v>
      </c>
      <c r="DE83" s="43">
        <v>42874</v>
      </c>
      <c r="DF83" s="39">
        <v>27</v>
      </c>
      <c r="DG83" s="43">
        <v>42848</v>
      </c>
      <c r="DH83" s="39">
        <v>17</v>
      </c>
      <c r="DI83" s="39">
        <v>26.6</v>
      </c>
      <c r="DJ83" s="39">
        <v>0.6</v>
      </c>
      <c r="DK83" s="80">
        <v>339</v>
      </c>
      <c r="DL83" s="39">
        <v>5</v>
      </c>
      <c r="DM83" s="39">
        <v>64</v>
      </c>
      <c r="DO83" s="39">
        <v>2</v>
      </c>
      <c r="DP83" s="39">
        <v>339</v>
      </c>
      <c r="DR83" s="39">
        <v>102</v>
      </c>
      <c r="DS83" s="39">
        <v>6.7</v>
      </c>
      <c r="DW83" s="43">
        <v>42848</v>
      </c>
      <c r="DX83" s="39">
        <v>16.600000000000001</v>
      </c>
      <c r="DY83" s="39">
        <v>27.4</v>
      </c>
      <c r="DZ83">
        <v>1</v>
      </c>
      <c r="EA83" s="39">
        <v>28.9</v>
      </c>
      <c r="EB83">
        <v>1</v>
      </c>
      <c r="EC83" s="39">
        <v>1.5</v>
      </c>
      <c r="ED83" s="39">
        <v>1.5</v>
      </c>
      <c r="EE83">
        <v>1</v>
      </c>
      <c r="EF83" s="39">
        <v>1.5</v>
      </c>
      <c r="EG83">
        <v>0</v>
      </c>
      <c r="EH83" s="39">
        <v>153</v>
      </c>
      <c r="EI83" s="62">
        <v>1.57516339869281</v>
      </c>
      <c r="EJ83" s="39">
        <v>241</v>
      </c>
      <c r="EK83" s="39">
        <v>1</v>
      </c>
      <c r="EL83">
        <f t="shared" si="36"/>
        <v>88</v>
      </c>
      <c r="EM83" s="39">
        <v>241</v>
      </c>
      <c r="EN83" s="39">
        <v>1</v>
      </c>
      <c r="ER83" s="39">
        <v>22</v>
      </c>
      <c r="ET83" s="39">
        <v>20</v>
      </c>
      <c r="EU83" s="39">
        <v>27</v>
      </c>
      <c r="EV83" s="39">
        <v>104</v>
      </c>
      <c r="EW83" s="39">
        <v>111</v>
      </c>
      <c r="EX83" s="39">
        <v>16</v>
      </c>
      <c r="EY83" s="39">
        <v>9</v>
      </c>
      <c r="FC83" s="39">
        <v>1</v>
      </c>
      <c r="FD83" s="39">
        <v>0</v>
      </c>
      <c r="FF83" s="39">
        <v>1</v>
      </c>
      <c r="FG83">
        <v>1</v>
      </c>
      <c r="FH83" s="43">
        <v>42856</v>
      </c>
      <c r="FI83">
        <v>1</v>
      </c>
      <c r="FJ83" s="1" t="e">
        <f>#REF!</f>
        <v>#REF!</v>
      </c>
      <c r="FK83" s="39">
        <v>0</v>
      </c>
      <c r="FL83">
        <v>0</v>
      </c>
      <c r="FM83"/>
      <c r="FN83"/>
      <c r="FO83">
        <v>0</v>
      </c>
      <c r="FQ83" s="44">
        <v>42848</v>
      </c>
      <c r="FR83" s="44" t="s">
        <v>230</v>
      </c>
      <c r="FS83" s="45">
        <v>0</v>
      </c>
      <c r="FT83" s="45">
        <v>0</v>
      </c>
      <c r="FU83" s="45">
        <v>1</v>
      </c>
      <c r="FV83" s="45">
        <v>0</v>
      </c>
      <c r="FW83" s="45">
        <v>1</v>
      </c>
      <c r="FX83" s="45">
        <v>1</v>
      </c>
      <c r="FY83" s="45">
        <v>1</v>
      </c>
      <c r="FZ83" s="45">
        <v>1</v>
      </c>
      <c r="GA83" s="45">
        <v>1</v>
      </c>
      <c r="GB83" s="45">
        <v>1</v>
      </c>
      <c r="GC83" s="45">
        <v>1</v>
      </c>
      <c r="GD83" s="45">
        <v>1</v>
      </c>
      <c r="GE83" s="45">
        <v>0</v>
      </c>
      <c r="GF83" s="45">
        <v>0</v>
      </c>
      <c r="GG83" s="45">
        <v>1</v>
      </c>
      <c r="GH83" s="45">
        <v>1</v>
      </c>
      <c r="GI83" s="45">
        <v>0</v>
      </c>
      <c r="GJ83" s="45">
        <v>0</v>
      </c>
      <c r="GK83" s="45">
        <v>1</v>
      </c>
      <c r="GL83" s="45">
        <v>0</v>
      </c>
      <c r="GM83" s="45">
        <v>1</v>
      </c>
      <c r="GN83" s="45">
        <v>0</v>
      </c>
      <c r="GO83" s="45">
        <v>0</v>
      </c>
      <c r="GP83" s="45">
        <v>0</v>
      </c>
      <c r="GQ83" s="45">
        <v>0</v>
      </c>
      <c r="GR83" s="45">
        <v>0</v>
      </c>
      <c r="GS83" s="45">
        <v>0</v>
      </c>
      <c r="GT83" s="45">
        <v>0</v>
      </c>
      <c r="GU83" s="45">
        <v>1</v>
      </c>
      <c r="GV83" s="45">
        <v>0</v>
      </c>
      <c r="GW83" s="45">
        <v>0</v>
      </c>
      <c r="GX83" s="45">
        <v>0</v>
      </c>
      <c r="GY83" s="15">
        <v>0</v>
      </c>
      <c r="GZ83" s="15">
        <v>0</v>
      </c>
      <c r="HA83" s="45">
        <v>0</v>
      </c>
      <c r="HB83" s="45">
        <v>1</v>
      </c>
      <c r="HC83" s="45">
        <v>0</v>
      </c>
      <c r="HD83" s="45">
        <v>0</v>
      </c>
      <c r="HE83" s="15">
        <v>0</v>
      </c>
      <c r="HF83" s="15">
        <v>0</v>
      </c>
      <c r="HG83" s="45">
        <v>0</v>
      </c>
      <c r="HH83" s="45">
        <v>1</v>
      </c>
      <c r="HI83" s="45">
        <v>1</v>
      </c>
      <c r="HJ83" s="45">
        <v>1</v>
      </c>
      <c r="HK83" s="45">
        <v>0</v>
      </c>
      <c r="HL83" s="45">
        <v>1</v>
      </c>
      <c r="HM83" s="45"/>
      <c r="HN83" s="45">
        <v>1</v>
      </c>
      <c r="HO83" s="45">
        <v>1</v>
      </c>
      <c r="HP83" s="45">
        <v>0</v>
      </c>
      <c r="HQ83" s="45">
        <v>0</v>
      </c>
      <c r="HR83" s="45">
        <v>0</v>
      </c>
      <c r="HS83" s="45">
        <v>0</v>
      </c>
      <c r="HT83" s="45">
        <v>1</v>
      </c>
      <c r="HU83" s="45">
        <v>1</v>
      </c>
      <c r="HV83" s="45">
        <v>0</v>
      </c>
      <c r="HW83" s="45">
        <v>1</v>
      </c>
      <c r="HX83" s="45">
        <v>0</v>
      </c>
      <c r="HY83" s="44">
        <v>42855</v>
      </c>
      <c r="HZ83" s="45" t="s">
        <v>231</v>
      </c>
      <c r="IA83" s="45">
        <v>0</v>
      </c>
      <c r="IB83" s="45">
        <v>0</v>
      </c>
      <c r="IC83" s="45">
        <v>1</v>
      </c>
      <c r="ID83" s="45">
        <v>0</v>
      </c>
      <c r="IE83" s="45">
        <v>1</v>
      </c>
      <c r="IF83" s="45">
        <v>1</v>
      </c>
      <c r="IG83" s="45">
        <v>1</v>
      </c>
      <c r="IH83" s="45">
        <v>1</v>
      </c>
      <c r="II83" s="45">
        <v>1</v>
      </c>
      <c r="IJ83" s="45">
        <v>1</v>
      </c>
      <c r="IK83" s="45">
        <v>1</v>
      </c>
      <c r="IL83" s="45">
        <v>1</v>
      </c>
      <c r="IM83" s="45">
        <v>0</v>
      </c>
      <c r="IN83" s="45">
        <v>0</v>
      </c>
      <c r="IO83" s="45">
        <v>0</v>
      </c>
      <c r="IP83" s="45">
        <v>0</v>
      </c>
      <c r="IQ83" s="45">
        <v>0</v>
      </c>
      <c r="IR83" s="45">
        <v>1</v>
      </c>
      <c r="IS83" s="45">
        <v>0</v>
      </c>
      <c r="IT83" s="45">
        <v>0</v>
      </c>
      <c r="IU83" s="45">
        <v>1</v>
      </c>
      <c r="IV83" s="45">
        <v>0</v>
      </c>
      <c r="IW83" s="45">
        <v>0</v>
      </c>
      <c r="IX83" s="45">
        <v>0</v>
      </c>
      <c r="IY83" s="45">
        <v>0</v>
      </c>
      <c r="IZ83" s="45">
        <v>0</v>
      </c>
      <c r="JA83" s="45">
        <v>0</v>
      </c>
      <c r="JB83" s="45">
        <v>0</v>
      </c>
      <c r="JC83" s="45">
        <v>1</v>
      </c>
      <c r="JD83" s="45">
        <v>0</v>
      </c>
      <c r="JE83" s="45">
        <v>0</v>
      </c>
      <c r="JF83" s="45">
        <v>0</v>
      </c>
      <c r="JG83" s="15">
        <v>0</v>
      </c>
      <c r="JH83" s="15">
        <v>0</v>
      </c>
      <c r="JI83" s="45">
        <v>0</v>
      </c>
      <c r="JJ83" s="45">
        <v>1</v>
      </c>
      <c r="JK83" s="45">
        <v>0</v>
      </c>
      <c r="JL83" s="45">
        <v>0</v>
      </c>
      <c r="JM83" s="15">
        <v>0</v>
      </c>
      <c r="JN83" s="15">
        <v>0</v>
      </c>
      <c r="JO83" s="45">
        <v>0</v>
      </c>
      <c r="JP83" s="45">
        <v>1</v>
      </c>
      <c r="JQ83" s="45">
        <v>1</v>
      </c>
      <c r="JR83" s="45">
        <v>1</v>
      </c>
      <c r="JS83" s="45">
        <v>0</v>
      </c>
      <c r="JT83" s="45">
        <v>1</v>
      </c>
      <c r="JU83" s="45"/>
      <c r="JV83" s="45">
        <v>1</v>
      </c>
      <c r="JW83" s="45">
        <v>1</v>
      </c>
      <c r="JX83" s="45">
        <v>0</v>
      </c>
      <c r="JY83" s="45">
        <v>0</v>
      </c>
      <c r="JZ83" s="45">
        <v>0</v>
      </c>
      <c r="KA83" s="45">
        <v>0</v>
      </c>
      <c r="KB83" s="45">
        <v>1</v>
      </c>
      <c r="KC83" s="45">
        <v>1</v>
      </c>
      <c r="KD83" s="45">
        <v>0</v>
      </c>
      <c r="KE83" s="45">
        <v>1</v>
      </c>
      <c r="KF83" s="45">
        <v>0</v>
      </c>
      <c r="KG83"/>
      <c r="KH83"/>
      <c r="KI83">
        <v>0</v>
      </c>
      <c r="KJ83">
        <v>0</v>
      </c>
      <c r="KK83">
        <v>1</v>
      </c>
      <c r="KL83">
        <v>0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0</v>
      </c>
      <c r="KV83">
        <v>0</v>
      </c>
      <c r="KW83">
        <v>1</v>
      </c>
      <c r="KX83">
        <v>1</v>
      </c>
      <c r="KY83">
        <v>0</v>
      </c>
      <c r="KZ83">
        <v>1</v>
      </c>
      <c r="LA83">
        <v>1</v>
      </c>
      <c r="LB83">
        <v>0</v>
      </c>
      <c r="LC83">
        <v>1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1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1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1</v>
      </c>
      <c r="LY83">
        <v>1</v>
      </c>
      <c r="LZ83">
        <v>1</v>
      </c>
      <c r="MA83">
        <v>0</v>
      </c>
      <c r="MB83">
        <v>1</v>
      </c>
      <c r="MC83">
        <v>0</v>
      </c>
      <c r="MD83">
        <v>1</v>
      </c>
      <c r="ME83">
        <v>1</v>
      </c>
      <c r="MF83">
        <v>0</v>
      </c>
      <c r="MG83">
        <v>0</v>
      </c>
      <c r="MH83">
        <v>0</v>
      </c>
      <c r="MI83">
        <v>0</v>
      </c>
      <c r="MJ83">
        <v>1</v>
      </c>
      <c r="MK83">
        <v>1</v>
      </c>
      <c r="ML83">
        <v>0</v>
      </c>
      <c r="MM83">
        <v>1</v>
      </c>
      <c r="MN83">
        <v>0</v>
      </c>
      <c r="MO83">
        <v>1</v>
      </c>
      <c r="MP83">
        <v>0</v>
      </c>
      <c r="MQ83">
        <v>1</v>
      </c>
      <c r="MR83">
        <v>1</v>
      </c>
      <c r="MS83">
        <v>1</v>
      </c>
      <c r="MT83">
        <v>1</v>
      </c>
    </row>
    <row r="84" spans="1:358" ht="18" x14ac:dyDescent="0.25">
      <c r="A84" t="s">
        <v>476</v>
      </c>
      <c r="B84" s="3">
        <v>63</v>
      </c>
      <c r="C84" s="3">
        <v>1</v>
      </c>
      <c r="D84" s="3">
        <v>1</v>
      </c>
      <c r="E84" s="26">
        <v>44512</v>
      </c>
      <c r="F84" s="61">
        <v>2</v>
      </c>
      <c r="G84" s="61"/>
      <c r="H84" s="58">
        <v>1</v>
      </c>
      <c r="I84" s="57">
        <v>1</v>
      </c>
      <c r="J84" s="58">
        <v>1</v>
      </c>
      <c r="K84" s="2">
        <v>44512</v>
      </c>
      <c r="L84" s="65">
        <v>1</v>
      </c>
      <c r="M84" s="2">
        <v>44553</v>
      </c>
      <c r="N84" s="3">
        <v>0</v>
      </c>
      <c r="O84" s="2">
        <v>45072</v>
      </c>
      <c r="P84" s="64">
        <f t="shared" si="32"/>
        <v>562</v>
      </c>
      <c r="Q84">
        <v>4</v>
      </c>
      <c r="R84">
        <v>1</v>
      </c>
      <c r="S84">
        <v>0</v>
      </c>
      <c r="T84">
        <v>94</v>
      </c>
      <c r="U84">
        <v>0</v>
      </c>
      <c r="V84">
        <v>1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78</v>
      </c>
      <c r="AO84">
        <v>163</v>
      </c>
      <c r="AP84">
        <v>29.4</v>
      </c>
      <c r="AQ84">
        <v>38</v>
      </c>
      <c r="AR84">
        <v>142</v>
      </c>
      <c r="AS84">
        <v>81</v>
      </c>
      <c r="AT84">
        <v>3</v>
      </c>
      <c r="AU84">
        <v>1</v>
      </c>
      <c r="AV84">
        <v>90</v>
      </c>
      <c r="AW84" s="1">
        <v>44510</v>
      </c>
      <c r="AX84" s="1">
        <v>44510</v>
      </c>
      <c r="AY84">
        <v>0</v>
      </c>
      <c r="AZ84" s="1">
        <v>44508</v>
      </c>
      <c r="BA84">
        <v>1</v>
      </c>
      <c r="BB84">
        <v>1</v>
      </c>
      <c r="BC84">
        <v>0</v>
      </c>
      <c r="BD84">
        <v>1</v>
      </c>
      <c r="BE84">
        <v>0</v>
      </c>
      <c r="BF84">
        <v>1</v>
      </c>
      <c r="BG84">
        <v>0</v>
      </c>
      <c r="BH84">
        <v>1</v>
      </c>
      <c r="BI84">
        <v>1</v>
      </c>
      <c r="BJ84">
        <v>0</v>
      </c>
      <c r="BK84">
        <v>0</v>
      </c>
      <c r="BL84">
        <v>0</v>
      </c>
      <c r="BM84" s="66">
        <v>0</v>
      </c>
      <c r="BN84">
        <v>0</v>
      </c>
      <c r="BO84">
        <v>0</v>
      </c>
      <c r="BP84" s="66">
        <f t="shared" ref="BP84:BP88" si="45">BJ84+BK84+BL84+BM84+BN84+BO84</f>
        <v>0</v>
      </c>
      <c r="BQ84">
        <v>0</v>
      </c>
      <c r="BR84">
        <v>0</v>
      </c>
      <c r="BS84">
        <v>3</v>
      </c>
      <c r="BT84">
        <v>0</v>
      </c>
      <c r="BU84" s="66">
        <f t="shared" ref="BU84:BU88" si="46">BM84</f>
        <v>0</v>
      </c>
      <c r="BV84">
        <v>0</v>
      </c>
      <c r="BW84">
        <v>0</v>
      </c>
      <c r="BX84" s="66">
        <f t="shared" si="33"/>
        <v>3</v>
      </c>
      <c r="BY84">
        <v>1</v>
      </c>
      <c r="BZ84">
        <v>1</v>
      </c>
      <c r="CA84">
        <v>1</v>
      </c>
      <c r="CB84">
        <v>1</v>
      </c>
      <c r="CC84">
        <v>2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f t="shared" si="39"/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DA84" s="1">
        <v>44510</v>
      </c>
      <c r="DB84" s="66">
        <f t="shared" si="35"/>
        <v>2</v>
      </c>
      <c r="DC84" t="s">
        <v>1</v>
      </c>
      <c r="DD84">
        <v>1</v>
      </c>
      <c r="DE84" s="1">
        <v>44512</v>
      </c>
      <c r="DF84">
        <v>3</v>
      </c>
      <c r="DG84" s="1">
        <v>44510</v>
      </c>
      <c r="DH84">
        <v>10</v>
      </c>
      <c r="DI84">
        <v>14.2</v>
      </c>
      <c r="DJ84">
        <v>1.6</v>
      </c>
      <c r="DK84" s="66">
        <v>264</v>
      </c>
      <c r="DL84">
        <v>4</v>
      </c>
      <c r="DM84">
        <v>77</v>
      </c>
      <c r="DN84">
        <v>5887</v>
      </c>
      <c r="DO84">
        <v>2</v>
      </c>
      <c r="DP84">
        <v>264</v>
      </c>
      <c r="DQ84">
        <v>5887</v>
      </c>
      <c r="DR84">
        <v>63</v>
      </c>
      <c r="DS84">
        <v>7.4</v>
      </c>
      <c r="DT84">
        <v>199</v>
      </c>
      <c r="DU84">
        <v>80</v>
      </c>
      <c r="DV84">
        <v>48</v>
      </c>
      <c r="DW84" s="1">
        <v>44510</v>
      </c>
      <c r="DX84">
        <v>18</v>
      </c>
      <c r="DY84">
        <v>22</v>
      </c>
      <c r="DZ84">
        <v>1</v>
      </c>
      <c r="EA84">
        <v>23</v>
      </c>
      <c r="EB84">
        <v>1</v>
      </c>
      <c r="EC84">
        <v>2.65</v>
      </c>
      <c r="ED84">
        <v>1.54</v>
      </c>
      <c r="EE84">
        <v>1</v>
      </c>
      <c r="EF84">
        <v>2.65</v>
      </c>
      <c r="EG84">
        <v>1</v>
      </c>
      <c r="EH84">
        <v>127</v>
      </c>
      <c r="EI84" s="62">
        <v>2.4251968503937</v>
      </c>
      <c r="EJ84">
        <v>308</v>
      </c>
      <c r="EK84" s="39">
        <v>1</v>
      </c>
      <c r="EL84">
        <f t="shared" si="36"/>
        <v>181</v>
      </c>
      <c r="EM84">
        <v>404</v>
      </c>
      <c r="EN84" s="39">
        <v>1</v>
      </c>
      <c r="EO84">
        <v>0</v>
      </c>
      <c r="ER84">
        <v>19</v>
      </c>
      <c r="ES84">
        <v>145</v>
      </c>
      <c r="ET84">
        <v>22</v>
      </c>
      <c r="EU84">
        <v>6</v>
      </c>
      <c r="EV84">
        <v>24</v>
      </c>
      <c r="EW84">
        <v>94</v>
      </c>
      <c r="EX84">
        <v>16</v>
      </c>
      <c r="EY84">
        <v>7</v>
      </c>
      <c r="FA84">
        <v>7.44</v>
      </c>
      <c r="FB84">
        <v>1</v>
      </c>
      <c r="FC84">
        <v>1</v>
      </c>
      <c r="FD84">
        <v>0</v>
      </c>
      <c r="FF84">
        <v>1</v>
      </c>
      <c r="FG84">
        <v>0</v>
      </c>
      <c r="FI84"/>
      <c r="FK84">
        <v>0</v>
      </c>
      <c r="FL84">
        <v>0</v>
      </c>
      <c r="FO84">
        <v>0</v>
      </c>
      <c r="FQ84" s="22">
        <v>44509</v>
      </c>
      <c r="FR84" s="22" t="s">
        <v>230</v>
      </c>
      <c r="FS84" s="15">
        <v>1</v>
      </c>
      <c r="FT84" s="15">
        <v>0</v>
      </c>
      <c r="FU84" s="15">
        <v>1</v>
      </c>
      <c r="FV84" s="15">
        <v>0</v>
      </c>
      <c r="FW84" s="15">
        <v>1</v>
      </c>
      <c r="FX84" s="15">
        <v>0</v>
      </c>
      <c r="FY84" s="15">
        <v>0</v>
      </c>
      <c r="FZ84" s="15">
        <v>0</v>
      </c>
      <c r="GA84" s="15">
        <v>0</v>
      </c>
      <c r="GB84" s="15">
        <v>1</v>
      </c>
      <c r="GC84" s="15">
        <v>1</v>
      </c>
      <c r="GD84" s="15">
        <v>1</v>
      </c>
      <c r="GE84" s="15">
        <v>1</v>
      </c>
      <c r="GF84" s="15">
        <v>0</v>
      </c>
      <c r="GG84" s="15">
        <v>0</v>
      </c>
      <c r="GH84" s="15">
        <v>0</v>
      </c>
      <c r="GI84" s="15">
        <v>1</v>
      </c>
      <c r="GJ84" s="15">
        <v>0</v>
      </c>
      <c r="GK84" s="15">
        <v>0</v>
      </c>
      <c r="GL84" s="15">
        <v>0</v>
      </c>
      <c r="GM84" s="15">
        <v>1</v>
      </c>
      <c r="GN84" s="15">
        <v>0</v>
      </c>
      <c r="GO84" s="15">
        <v>1</v>
      </c>
      <c r="GP84" s="15">
        <v>1</v>
      </c>
      <c r="GQ84" s="15">
        <v>0</v>
      </c>
      <c r="GR84" s="15">
        <v>1</v>
      </c>
      <c r="GS84" s="15">
        <v>0</v>
      </c>
      <c r="GT84" s="15">
        <v>0</v>
      </c>
      <c r="GU84" s="15">
        <v>1</v>
      </c>
      <c r="GV84" s="15">
        <v>0</v>
      </c>
      <c r="GW84" s="15">
        <v>0</v>
      </c>
      <c r="GX84" s="15">
        <v>0</v>
      </c>
      <c r="GY84" s="15">
        <v>0</v>
      </c>
      <c r="GZ84" s="15">
        <v>0</v>
      </c>
      <c r="HA84" s="15">
        <v>0</v>
      </c>
      <c r="HB84" s="15">
        <v>1</v>
      </c>
      <c r="HC84" s="15">
        <v>0</v>
      </c>
      <c r="HD84" s="15">
        <v>0</v>
      </c>
      <c r="HE84" s="15">
        <v>0</v>
      </c>
      <c r="HF84" s="15">
        <v>0</v>
      </c>
      <c r="HG84" s="15">
        <v>0</v>
      </c>
      <c r="HH84" s="15">
        <v>1</v>
      </c>
      <c r="HI84" s="15">
        <v>1</v>
      </c>
      <c r="HJ84" s="15">
        <v>1</v>
      </c>
      <c r="HK84" s="15">
        <v>1</v>
      </c>
      <c r="HL84" s="15">
        <v>0</v>
      </c>
      <c r="HM84" s="15">
        <v>1</v>
      </c>
      <c r="HN84" s="15">
        <v>0</v>
      </c>
      <c r="HO84" s="15">
        <v>1</v>
      </c>
      <c r="HP84" s="15">
        <v>0</v>
      </c>
      <c r="HQ84" s="15">
        <v>0</v>
      </c>
      <c r="HR84" s="15">
        <v>0</v>
      </c>
      <c r="HS84" s="15">
        <v>0</v>
      </c>
      <c r="HT84" s="15">
        <v>1</v>
      </c>
      <c r="HU84" s="15">
        <v>1</v>
      </c>
      <c r="HV84" s="15">
        <v>0</v>
      </c>
      <c r="HW84" s="15">
        <v>0</v>
      </c>
      <c r="HX84" s="15">
        <v>0</v>
      </c>
      <c r="HY84" s="22">
        <v>44511</v>
      </c>
      <c r="HZ84" s="15" t="s">
        <v>230</v>
      </c>
      <c r="IA84" s="15">
        <v>1</v>
      </c>
      <c r="IB84" s="15">
        <v>1</v>
      </c>
      <c r="IC84" s="15">
        <v>1</v>
      </c>
      <c r="ID84" s="15">
        <v>0</v>
      </c>
      <c r="IE84" s="15">
        <v>1</v>
      </c>
      <c r="IF84" s="15">
        <v>0</v>
      </c>
      <c r="IG84" s="15">
        <v>0</v>
      </c>
      <c r="IH84" s="15">
        <v>0</v>
      </c>
      <c r="II84" s="15">
        <v>0</v>
      </c>
      <c r="IJ84" s="15">
        <v>1</v>
      </c>
      <c r="IK84" s="15">
        <v>1</v>
      </c>
      <c r="IL84" s="15">
        <v>1</v>
      </c>
      <c r="IM84" s="15">
        <v>1</v>
      </c>
      <c r="IN84" s="15">
        <v>0</v>
      </c>
      <c r="IO84" s="15">
        <v>0</v>
      </c>
      <c r="IP84" s="15">
        <v>0</v>
      </c>
      <c r="IQ84" s="15">
        <v>1</v>
      </c>
      <c r="IR84" s="15">
        <v>0</v>
      </c>
      <c r="IS84" s="15">
        <v>0</v>
      </c>
      <c r="IT84" s="15">
        <v>0</v>
      </c>
      <c r="IU84" s="15">
        <v>1</v>
      </c>
      <c r="IV84" s="15">
        <v>0</v>
      </c>
      <c r="IW84" s="15">
        <v>1</v>
      </c>
      <c r="IX84" s="15">
        <v>1</v>
      </c>
      <c r="IY84" s="15">
        <v>0</v>
      </c>
      <c r="IZ84" s="15">
        <v>1</v>
      </c>
      <c r="JA84" s="15">
        <v>0</v>
      </c>
      <c r="JB84" s="15">
        <v>0</v>
      </c>
      <c r="JC84" s="15">
        <v>1</v>
      </c>
      <c r="JD84" s="15">
        <v>0</v>
      </c>
      <c r="JE84" s="15">
        <v>0</v>
      </c>
      <c r="JF84" s="15">
        <v>0</v>
      </c>
      <c r="JG84" s="15">
        <v>0</v>
      </c>
      <c r="JH84" s="15">
        <v>0</v>
      </c>
      <c r="JI84" s="15">
        <v>0</v>
      </c>
      <c r="JJ84" s="15">
        <v>1</v>
      </c>
      <c r="JK84" s="15">
        <v>0</v>
      </c>
      <c r="JL84" s="15">
        <v>0</v>
      </c>
      <c r="JM84" s="15">
        <v>0</v>
      </c>
      <c r="JN84" s="15">
        <v>0</v>
      </c>
      <c r="JO84" s="15">
        <v>0</v>
      </c>
      <c r="JP84" s="15">
        <v>1</v>
      </c>
      <c r="JQ84" s="15">
        <v>1</v>
      </c>
      <c r="JR84" s="15">
        <v>1</v>
      </c>
      <c r="JS84" s="15">
        <v>0</v>
      </c>
      <c r="JT84" s="15">
        <v>1</v>
      </c>
      <c r="JU84" s="15">
        <v>1</v>
      </c>
      <c r="JV84" s="15">
        <v>0</v>
      </c>
      <c r="JW84" s="15">
        <v>1</v>
      </c>
      <c r="JX84" s="15">
        <v>0</v>
      </c>
      <c r="JY84" s="15">
        <v>0</v>
      </c>
      <c r="JZ84" s="15">
        <v>0</v>
      </c>
      <c r="KA84" s="15">
        <v>0</v>
      </c>
      <c r="KB84" s="15">
        <v>1</v>
      </c>
      <c r="KC84" s="15">
        <v>1</v>
      </c>
      <c r="KD84" s="15">
        <v>0</v>
      </c>
      <c r="KE84" s="15">
        <v>0</v>
      </c>
      <c r="KF84" s="15">
        <v>0</v>
      </c>
      <c r="KI84">
        <v>1</v>
      </c>
      <c r="KJ84">
        <v>1</v>
      </c>
      <c r="KK84">
        <v>1</v>
      </c>
      <c r="KL84">
        <v>0</v>
      </c>
      <c r="KM84">
        <v>1</v>
      </c>
      <c r="KN84">
        <v>0</v>
      </c>
      <c r="KO84">
        <v>0</v>
      </c>
      <c r="KP84">
        <v>0</v>
      </c>
      <c r="KQ84">
        <v>0</v>
      </c>
      <c r="KR84">
        <v>1</v>
      </c>
      <c r="KS84">
        <v>1</v>
      </c>
      <c r="KT84">
        <v>1</v>
      </c>
      <c r="KU84">
        <v>1</v>
      </c>
      <c r="KV84">
        <v>0</v>
      </c>
      <c r="KW84">
        <v>0</v>
      </c>
      <c r="KX84">
        <v>0</v>
      </c>
      <c r="KY84">
        <v>1</v>
      </c>
      <c r="KZ84">
        <v>0</v>
      </c>
      <c r="LA84">
        <v>0</v>
      </c>
      <c r="LB84">
        <v>0</v>
      </c>
      <c r="LC84">
        <v>1</v>
      </c>
      <c r="LD84">
        <v>0</v>
      </c>
      <c r="LE84">
        <v>1</v>
      </c>
      <c r="LF84">
        <v>1</v>
      </c>
      <c r="LG84">
        <v>0</v>
      </c>
      <c r="LH84">
        <v>1</v>
      </c>
      <c r="LI84">
        <v>0</v>
      </c>
      <c r="LJ84">
        <v>0</v>
      </c>
      <c r="LK84">
        <v>1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1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0</v>
      </c>
      <c r="ME84">
        <v>1</v>
      </c>
      <c r="MF84">
        <v>0</v>
      </c>
      <c r="MG84">
        <v>0</v>
      </c>
      <c r="MH84">
        <v>0</v>
      </c>
      <c r="MI84">
        <v>0</v>
      </c>
      <c r="MJ84">
        <v>1</v>
      </c>
      <c r="MK84">
        <v>1</v>
      </c>
      <c r="ML84">
        <v>0</v>
      </c>
      <c r="MM84">
        <v>0</v>
      </c>
      <c r="MN84">
        <v>0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</row>
    <row r="85" spans="1:358" s="39" customFormat="1" ht="18" x14ac:dyDescent="0.25">
      <c r="A85" t="s">
        <v>477</v>
      </c>
      <c r="B85" s="40">
        <v>39</v>
      </c>
      <c r="C85" s="40">
        <v>0</v>
      </c>
      <c r="D85" s="40">
        <v>0</v>
      </c>
      <c r="E85" s="40"/>
      <c r="F85" s="55">
        <v>148</v>
      </c>
      <c r="G85" s="55"/>
      <c r="H85" s="57">
        <v>0</v>
      </c>
      <c r="I85" s="57">
        <v>0</v>
      </c>
      <c r="J85" s="57"/>
      <c r="K85" s="40"/>
      <c r="L85" s="40"/>
      <c r="M85" s="40"/>
      <c r="N85" s="40">
        <v>0</v>
      </c>
      <c r="O85" s="42">
        <v>45085</v>
      </c>
      <c r="P85" s="64">
        <f t="shared" si="32"/>
        <v>188</v>
      </c>
      <c r="Q85" s="39">
        <v>1</v>
      </c>
      <c r="S85" s="39">
        <v>1</v>
      </c>
      <c r="U85" s="39">
        <v>0</v>
      </c>
      <c r="V85" s="39">
        <v>1</v>
      </c>
      <c r="W85" s="39">
        <v>0</v>
      </c>
      <c r="X85" s="39">
        <v>0</v>
      </c>
      <c r="Y85" s="39">
        <v>0</v>
      </c>
      <c r="Z85" s="39">
        <v>1</v>
      </c>
      <c r="AA85" s="39">
        <v>0</v>
      </c>
      <c r="AB85" s="39">
        <v>0</v>
      </c>
      <c r="AC85" s="39">
        <v>0</v>
      </c>
      <c r="AD85" s="39">
        <v>0</v>
      </c>
      <c r="AE85" s="39">
        <v>0</v>
      </c>
      <c r="AF85" s="39">
        <v>0</v>
      </c>
      <c r="AG85" s="39">
        <v>0</v>
      </c>
      <c r="AH85" s="39">
        <v>0</v>
      </c>
      <c r="AI85" s="39">
        <v>0</v>
      </c>
      <c r="AJ85" s="39">
        <v>0</v>
      </c>
      <c r="AK85" s="39">
        <v>0</v>
      </c>
      <c r="AL85" s="39">
        <v>0</v>
      </c>
      <c r="AM85" s="39">
        <v>0</v>
      </c>
      <c r="AN85" s="39">
        <v>118</v>
      </c>
      <c r="AO85" s="39">
        <v>183</v>
      </c>
      <c r="AP85" s="39">
        <v>35.200000000000003</v>
      </c>
      <c r="AT85" s="39">
        <v>2</v>
      </c>
      <c r="AU85">
        <v>0</v>
      </c>
      <c r="AW85" s="43">
        <v>44897</v>
      </c>
      <c r="AX85" s="43">
        <v>44897</v>
      </c>
      <c r="AY85" s="39">
        <v>0</v>
      </c>
      <c r="AZ85" s="43">
        <v>44897</v>
      </c>
      <c r="BA85" s="39">
        <v>1</v>
      </c>
      <c r="BB85" s="39">
        <v>0</v>
      </c>
      <c r="BC85" s="39">
        <v>0</v>
      </c>
      <c r="BD85" s="39">
        <v>1</v>
      </c>
      <c r="BE85" s="39">
        <v>0</v>
      </c>
      <c r="BF85" s="39">
        <v>0</v>
      </c>
      <c r="BG85" s="39">
        <v>0</v>
      </c>
      <c r="BH85" s="39">
        <v>0</v>
      </c>
      <c r="BI85" s="39">
        <v>1</v>
      </c>
      <c r="BJ85">
        <v>0</v>
      </c>
      <c r="BK85">
        <v>0</v>
      </c>
      <c r="BL85">
        <v>0</v>
      </c>
      <c r="BM85" s="66">
        <v>0</v>
      </c>
      <c r="BN85">
        <v>0</v>
      </c>
      <c r="BO85">
        <v>0</v>
      </c>
      <c r="BP85" s="66">
        <f t="shared" si="45"/>
        <v>0</v>
      </c>
      <c r="BQ85">
        <v>0</v>
      </c>
      <c r="BR85">
        <v>0</v>
      </c>
      <c r="BS85">
        <v>0</v>
      </c>
      <c r="BT85">
        <v>0</v>
      </c>
      <c r="BU85" s="66">
        <f t="shared" si="46"/>
        <v>0</v>
      </c>
      <c r="BV85">
        <v>0</v>
      </c>
      <c r="BW85">
        <v>0</v>
      </c>
      <c r="BX85" s="66">
        <f t="shared" si="33"/>
        <v>0</v>
      </c>
      <c r="BY85">
        <v>0</v>
      </c>
      <c r="BZ85">
        <f t="shared" si="34"/>
        <v>0</v>
      </c>
      <c r="CA85" s="39">
        <v>0</v>
      </c>
      <c r="CB85" s="39">
        <v>0</v>
      </c>
      <c r="CC85" s="39">
        <v>2</v>
      </c>
      <c r="CD85" s="39">
        <v>0</v>
      </c>
      <c r="CE85" s="39">
        <v>0</v>
      </c>
      <c r="CF85" s="39">
        <v>0</v>
      </c>
      <c r="CG85" s="39">
        <v>0</v>
      </c>
      <c r="CH85" s="39">
        <v>0</v>
      </c>
      <c r="CI85" s="39">
        <v>0</v>
      </c>
      <c r="CJ85" s="39">
        <v>0</v>
      </c>
      <c r="CK85" s="39">
        <v>0</v>
      </c>
      <c r="CL85" s="39">
        <v>0</v>
      </c>
      <c r="CM85" s="39">
        <v>0</v>
      </c>
      <c r="CN85" s="39">
        <v>0</v>
      </c>
      <c r="CO85">
        <f t="shared" si="39"/>
        <v>0</v>
      </c>
      <c r="CP85" s="39">
        <v>0</v>
      </c>
      <c r="CQ85" s="39">
        <v>0</v>
      </c>
      <c r="CR85" s="39">
        <v>0</v>
      </c>
      <c r="CS85" s="39">
        <v>0</v>
      </c>
      <c r="CT85" s="39">
        <v>0</v>
      </c>
      <c r="CU85" s="39">
        <v>0</v>
      </c>
      <c r="CV85" s="39">
        <v>0</v>
      </c>
      <c r="CW85" s="31"/>
      <c r="CX85" s="39">
        <v>1</v>
      </c>
      <c r="CY85">
        <v>0</v>
      </c>
      <c r="DA85" s="43">
        <v>44900</v>
      </c>
      <c r="DB85" s="66">
        <f t="shared" si="35"/>
        <v>3</v>
      </c>
      <c r="DC85" s="39" t="s">
        <v>6</v>
      </c>
      <c r="DD85" s="39">
        <v>0</v>
      </c>
      <c r="DE85" s="43">
        <v>44904</v>
      </c>
      <c r="DF85" s="39">
        <v>4</v>
      </c>
      <c r="DG85" s="43">
        <v>44897</v>
      </c>
      <c r="DH85" s="39">
        <v>15</v>
      </c>
      <c r="DI85" s="43">
        <v>10</v>
      </c>
      <c r="DJ85" s="39">
        <v>1.4</v>
      </c>
      <c r="DK85" s="80">
        <v>370</v>
      </c>
      <c r="DM85" s="43">
        <v>81</v>
      </c>
      <c r="DP85" s="39">
        <v>300</v>
      </c>
      <c r="DR85" s="39">
        <v>81</v>
      </c>
      <c r="DS85" s="39">
        <v>3.2</v>
      </c>
      <c r="DW85" s="43">
        <v>44897</v>
      </c>
      <c r="DX85" s="39">
        <v>13</v>
      </c>
      <c r="DY85">
        <f t="shared" ref="DY85:DY86" si="47">EA85</f>
        <v>15</v>
      </c>
      <c r="DZ85">
        <v>1</v>
      </c>
      <c r="EA85" s="39">
        <v>15</v>
      </c>
      <c r="EB85">
        <v>1</v>
      </c>
      <c r="ED85">
        <f t="shared" ref="ED85:ED86" si="48">EF85</f>
        <v>1</v>
      </c>
      <c r="EE85">
        <v>0</v>
      </c>
      <c r="EF85" s="39">
        <v>1</v>
      </c>
      <c r="EG85">
        <v>0</v>
      </c>
      <c r="EH85" s="39">
        <v>146</v>
      </c>
      <c r="EI85" s="62">
        <v>1.34246575342466</v>
      </c>
      <c r="EJ85" s="39">
        <v>196</v>
      </c>
      <c r="EK85">
        <v>0</v>
      </c>
      <c r="EL85">
        <f t="shared" si="36"/>
        <v>50</v>
      </c>
      <c r="EO85" s="39">
        <v>0.1</v>
      </c>
      <c r="ER85" s="39">
        <v>19</v>
      </c>
      <c r="ES85" s="39">
        <v>21</v>
      </c>
      <c r="ET85" s="39">
        <v>24</v>
      </c>
      <c r="EU85" s="39">
        <v>45</v>
      </c>
      <c r="EV85" s="39">
        <v>49</v>
      </c>
      <c r="EW85" s="39">
        <v>60</v>
      </c>
      <c r="EX85" s="39">
        <v>9</v>
      </c>
      <c r="EY85" s="39">
        <v>4</v>
      </c>
      <c r="FA85" s="39">
        <v>7.36</v>
      </c>
      <c r="FC85" s="39">
        <v>0</v>
      </c>
      <c r="FF85" s="39">
        <v>0</v>
      </c>
      <c r="FG85">
        <v>0</v>
      </c>
      <c r="FK85">
        <v>0</v>
      </c>
      <c r="FL85">
        <v>0</v>
      </c>
      <c r="FM85"/>
      <c r="FN85"/>
      <c r="FO85">
        <v>0</v>
      </c>
      <c r="FQ85" s="44">
        <v>44897</v>
      </c>
      <c r="FR85" s="45" t="s">
        <v>230</v>
      </c>
      <c r="FS85" s="45">
        <v>1</v>
      </c>
      <c r="FT85" s="45">
        <v>1</v>
      </c>
      <c r="FU85" s="45">
        <v>1</v>
      </c>
      <c r="FV85" s="45">
        <v>0</v>
      </c>
      <c r="FW85" s="45">
        <v>1</v>
      </c>
      <c r="FX85" s="45">
        <v>0</v>
      </c>
      <c r="FY85" s="45">
        <v>0</v>
      </c>
      <c r="FZ85" s="45">
        <v>0</v>
      </c>
      <c r="GA85" s="45">
        <v>0</v>
      </c>
      <c r="GB85" s="45">
        <v>0</v>
      </c>
      <c r="GC85" s="45">
        <v>1</v>
      </c>
      <c r="GD85" s="45">
        <v>1</v>
      </c>
      <c r="GE85" s="45">
        <v>0</v>
      </c>
      <c r="GF85" s="45">
        <v>0</v>
      </c>
      <c r="GG85" s="45">
        <v>0</v>
      </c>
      <c r="GH85" s="45">
        <v>0</v>
      </c>
      <c r="GI85" s="45">
        <v>1</v>
      </c>
      <c r="GJ85" s="45">
        <v>0</v>
      </c>
      <c r="GK85" s="45">
        <v>0</v>
      </c>
      <c r="GL85" s="45">
        <v>0</v>
      </c>
      <c r="GM85" s="45">
        <v>1</v>
      </c>
      <c r="GN85" s="45">
        <v>0</v>
      </c>
      <c r="GO85" s="45">
        <v>1</v>
      </c>
      <c r="GP85" s="45">
        <v>1</v>
      </c>
      <c r="GQ85" s="45">
        <v>1</v>
      </c>
      <c r="GR85" s="45">
        <v>1</v>
      </c>
      <c r="GS85" s="45">
        <v>1</v>
      </c>
      <c r="GT85" s="45">
        <v>0</v>
      </c>
      <c r="GU85" s="45">
        <v>1</v>
      </c>
      <c r="GV85" s="45">
        <v>0</v>
      </c>
      <c r="GW85" s="45">
        <v>0</v>
      </c>
      <c r="GX85" s="45">
        <v>0</v>
      </c>
      <c r="GY85" s="15">
        <v>0</v>
      </c>
      <c r="GZ85" s="15">
        <v>0</v>
      </c>
      <c r="HA85" s="45">
        <v>0</v>
      </c>
      <c r="HB85" s="45">
        <v>1</v>
      </c>
      <c r="HC85" s="45">
        <v>0</v>
      </c>
      <c r="HD85" s="45">
        <v>0</v>
      </c>
      <c r="HE85" s="15">
        <v>0</v>
      </c>
      <c r="HF85" s="15">
        <v>0</v>
      </c>
      <c r="HG85" s="45">
        <v>0</v>
      </c>
      <c r="HH85" s="45">
        <v>1</v>
      </c>
      <c r="HI85" s="45">
        <v>1</v>
      </c>
      <c r="HJ85" s="45">
        <v>1</v>
      </c>
      <c r="HK85" s="45">
        <v>0</v>
      </c>
      <c r="HL85" s="45">
        <v>0</v>
      </c>
      <c r="HM85" s="45">
        <v>0</v>
      </c>
      <c r="HN85" s="45">
        <v>0</v>
      </c>
      <c r="HO85" s="45">
        <v>1</v>
      </c>
      <c r="HP85" s="45">
        <v>0</v>
      </c>
      <c r="HQ85" s="45">
        <v>0</v>
      </c>
      <c r="HR85" s="45">
        <v>0</v>
      </c>
      <c r="HS85" s="45">
        <v>0</v>
      </c>
      <c r="HT85" s="45">
        <v>0</v>
      </c>
      <c r="HU85" s="45">
        <v>0</v>
      </c>
      <c r="HV85" s="45">
        <v>0</v>
      </c>
      <c r="HW85" s="45">
        <v>0</v>
      </c>
      <c r="HX85" s="45">
        <v>0</v>
      </c>
      <c r="HY85" s="44">
        <v>44902</v>
      </c>
      <c r="HZ85" s="45" t="s">
        <v>230</v>
      </c>
      <c r="IA85" s="45">
        <v>1</v>
      </c>
      <c r="IB85" s="45">
        <v>1</v>
      </c>
      <c r="IC85" s="45">
        <v>1</v>
      </c>
      <c r="ID85" s="45">
        <v>0</v>
      </c>
      <c r="IE85" s="45">
        <v>1</v>
      </c>
      <c r="IF85" s="45">
        <v>0</v>
      </c>
      <c r="IG85" s="45">
        <v>0</v>
      </c>
      <c r="IH85" s="45">
        <v>0</v>
      </c>
      <c r="II85" s="45">
        <v>0</v>
      </c>
      <c r="IJ85" s="45">
        <v>0</v>
      </c>
      <c r="IK85" s="45">
        <v>1</v>
      </c>
      <c r="IL85" s="45">
        <v>1</v>
      </c>
      <c r="IM85" s="45">
        <v>0</v>
      </c>
      <c r="IN85" s="45">
        <v>0</v>
      </c>
      <c r="IO85" s="45">
        <v>0</v>
      </c>
      <c r="IP85" s="45">
        <v>0</v>
      </c>
      <c r="IQ85" s="45">
        <v>1</v>
      </c>
      <c r="IR85" s="45">
        <v>0</v>
      </c>
      <c r="IS85" s="45">
        <v>0</v>
      </c>
      <c r="IT85" s="45">
        <v>0</v>
      </c>
      <c r="IU85" s="45">
        <v>1</v>
      </c>
      <c r="IV85" s="45">
        <v>0</v>
      </c>
      <c r="IW85" s="45">
        <v>1</v>
      </c>
      <c r="IX85" s="45">
        <v>1</v>
      </c>
      <c r="IY85" s="45">
        <v>1</v>
      </c>
      <c r="IZ85" s="45">
        <v>1</v>
      </c>
      <c r="JA85" s="45">
        <v>1</v>
      </c>
      <c r="JB85" s="45">
        <v>0</v>
      </c>
      <c r="JC85" s="45">
        <v>1</v>
      </c>
      <c r="JD85" s="45">
        <v>0</v>
      </c>
      <c r="JE85" s="45">
        <v>0</v>
      </c>
      <c r="JF85" s="45">
        <v>0</v>
      </c>
      <c r="JG85" s="15">
        <v>0</v>
      </c>
      <c r="JH85" s="15">
        <v>0</v>
      </c>
      <c r="JI85" s="45">
        <v>0</v>
      </c>
      <c r="JJ85" s="45">
        <v>1</v>
      </c>
      <c r="JK85" s="45">
        <v>0</v>
      </c>
      <c r="JL85" s="45">
        <v>0</v>
      </c>
      <c r="JM85" s="15">
        <v>0</v>
      </c>
      <c r="JN85" s="15">
        <v>0</v>
      </c>
      <c r="JO85" s="45">
        <v>0</v>
      </c>
      <c r="JP85" s="45">
        <v>0</v>
      </c>
      <c r="JQ85" s="45">
        <v>1</v>
      </c>
      <c r="JR85" s="45">
        <v>1</v>
      </c>
      <c r="JS85" s="45">
        <v>0</v>
      </c>
      <c r="JT85" s="45">
        <v>0</v>
      </c>
      <c r="JU85" s="45">
        <v>0</v>
      </c>
      <c r="JV85" s="45">
        <v>0</v>
      </c>
      <c r="JW85" s="45">
        <v>1</v>
      </c>
      <c r="JX85" s="45">
        <v>0</v>
      </c>
      <c r="JY85" s="45">
        <v>0</v>
      </c>
      <c r="JZ85" s="45">
        <v>0</v>
      </c>
      <c r="KA85" s="45">
        <v>0</v>
      </c>
      <c r="KB85" s="45">
        <v>0</v>
      </c>
      <c r="KC85" s="45">
        <v>0</v>
      </c>
      <c r="KD85" s="45">
        <v>0</v>
      </c>
      <c r="KE85" s="45">
        <v>0</v>
      </c>
      <c r="KF85" s="45">
        <v>0</v>
      </c>
      <c r="KG85"/>
      <c r="KH85"/>
      <c r="KI85">
        <v>1</v>
      </c>
      <c r="KJ85">
        <v>1</v>
      </c>
      <c r="KK85">
        <v>1</v>
      </c>
      <c r="KL85">
        <v>0</v>
      </c>
      <c r="KM85">
        <v>1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1</v>
      </c>
      <c r="KT85">
        <v>1</v>
      </c>
      <c r="KU85">
        <v>0</v>
      </c>
      <c r="KV85">
        <v>0</v>
      </c>
      <c r="KW85">
        <v>0</v>
      </c>
      <c r="KX85">
        <v>0</v>
      </c>
      <c r="KY85">
        <v>1</v>
      </c>
      <c r="KZ85">
        <v>0</v>
      </c>
      <c r="LA85">
        <v>0</v>
      </c>
      <c r="LB85">
        <v>0</v>
      </c>
      <c r="LC85">
        <v>1</v>
      </c>
      <c r="LD85">
        <v>0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0</v>
      </c>
      <c r="LK85">
        <v>1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1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1</v>
      </c>
      <c r="LY85">
        <v>1</v>
      </c>
      <c r="LZ85">
        <v>1</v>
      </c>
      <c r="MA85">
        <v>0</v>
      </c>
      <c r="MB85">
        <v>0</v>
      </c>
      <c r="MC85">
        <v>0</v>
      </c>
      <c r="MD85">
        <v>0</v>
      </c>
      <c r="ME85">
        <v>1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1</v>
      </c>
      <c r="MP85">
        <v>0</v>
      </c>
      <c r="MQ85">
        <v>1</v>
      </c>
      <c r="MR85">
        <v>1</v>
      </c>
      <c r="MS85">
        <v>1</v>
      </c>
      <c r="MT85">
        <v>0</v>
      </c>
    </row>
    <row r="86" spans="1:358" s="39" customFormat="1" ht="18" x14ac:dyDescent="0.25">
      <c r="A86" t="s">
        <v>478</v>
      </c>
      <c r="B86" s="40">
        <v>52</v>
      </c>
      <c r="C86" s="40">
        <v>0</v>
      </c>
      <c r="D86" s="40">
        <v>1</v>
      </c>
      <c r="E86" s="41">
        <v>43001</v>
      </c>
      <c r="F86" s="61">
        <v>1</v>
      </c>
      <c r="G86" s="61"/>
      <c r="H86" s="57">
        <v>1</v>
      </c>
      <c r="I86" s="57">
        <v>1</v>
      </c>
      <c r="J86" s="57">
        <v>0</v>
      </c>
      <c r="K86" s="42">
        <v>43001</v>
      </c>
      <c r="L86" s="65">
        <v>1</v>
      </c>
      <c r="M86" s="42">
        <v>43392</v>
      </c>
      <c r="N86" s="40">
        <v>0</v>
      </c>
      <c r="O86" s="42">
        <v>43810</v>
      </c>
      <c r="P86" s="64">
        <f t="shared" si="32"/>
        <v>810</v>
      </c>
      <c r="Q86" s="39">
        <v>1</v>
      </c>
      <c r="R86" s="39">
        <v>0</v>
      </c>
      <c r="S86" s="39">
        <v>0</v>
      </c>
      <c r="T86" s="39">
        <v>78</v>
      </c>
      <c r="U86" s="39">
        <v>0</v>
      </c>
      <c r="V86" s="39">
        <v>1</v>
      </c>
      <c r="W86" s="39">
        <v>0</v>
      </c>
      <c r="X86" s="39">
        <v>0</v>
      </c>
      <c r="Y86" s="39">
        <v>0</v>
      </c>
      <c r="Z86" s="39">
        <v>1</v>
      </c>
      <c r="AA86" s="39">
        <v>1</v>
      </c>
      <c r="AB86" s="39">
        <v>0</v>
      </c>
      <c r="AC86" s="39">
        <v>0</v>
      </c>
      <c r="AD86" s="39">
        <v>0</v>
      </c>
      <c r="AE86" s="39">
        <v>0</v>
      </c>
      <c r="AF86" s="39">
        <v>1</v>
      </c>
      <c r="AG86" s="39">
        <v>0</v>
      </c>
      <c r="AH86" s="39">
        <v>0</v>
      </c>
      <c r="AI86" s="39">
        <v>0</v>
      </c>
      <c r="AJ86" s="39">
        <v>0</v>
      </c>
      <c r="AK86" s="39">
        <v>0</v>
      </c>
      <c r="AL86" s="39">
        <v>0</v>
      </c>
      <c r="AM86" s="39">
        <v>1</v>
      </c>
      <c r="AN86" s="39">
        <v>99</v>
      </c>
      <c r="AO86" s="39">
        <v>170</v>
      </c>
      <c r="AP86" s="39">
        <v>34.299999999999997</v>
      </c>
      <c r="AQ86" s="39">
        <v>36.1</v>
      </c>
      <c r="AR86" s="39">
        <v>75</v>
      </c>
      <c r="AS86" s="39">
        <v>43</v>
      </c>
      <c r="AT86" s="39">
        <v>3</v>
      </c>
      <c r="AU86">
        <v>1</v>
      </c>
      <c r="AV86" s="39">
        <v>49</v>
      </c>
      <c r="AW86" s="43">
        <v>43000</v>
      </c>
      <c r="AX86" s="43">
        <v>43000</v>
      </c>
      <c r="AY86" s="39">
        <v>0</v>
      </c>
      <c r="AZ86" s="43">
        <v>42993</v>
      </c>
      <c r="BA86" s="39">
        <v>1</v>
      </c>
      <c r="BB86" s="39">
        <v>1</v>
      </c>
      <c r="BC86" s="39">
        <v>1</v>
      </c>
      <c r="BD86" s="39">
        <v>1</v>
      </c>
      <c r="BE86" s="39">
        <v>0</v>
      </c>
      <c r="BF86" s="39">
        <v>1</v>
      </c>
      <c r="BG86" s="39">
        <v>0</v>
      </c>
      <c r="BH86" s="39">
        <v>0</v>
      </c>
      <c r="BI86" s="39">
        <v>1</v>
      </c>
      <c r="BJ86" s="39">
        <v>3</v>
      </c>
      <c r="BK86">
        <v>0</v>
      </c>
      <c r="BL86">
        <v>0</v>
      </c>
      <c r="BN86" s="39">
        <v>1</v>
      </c>
      <c r="BO86">
        <v>0</v>
      </c>
      <c r="BP86" s="66">
        <f t="shared" si="45"/>
        <v>4</v>
      </c>
      <c r="BQ86" s="39">
        <v>1</v>
      </c>
      <c r="BR86" s="39">
        <v>3</v>
      </c>
      <c r="BS86" s="39">
        <v>3</v>
      </c>
      <c r="BT86">
        <v>0</v>
      </c>
      <c r="BU86" s="66"/>
      <c r="BV86" s="39">
        <v>1</v>
      </c>
      <c r="BW86">
        <v>0</v>
      </c>
      <c r="BX86" s="66">
        <f t="shared" si="33"/>
        <v>7</v>
      </c>
      <c r="BY86" s="39">
        <v>1</v>
      </c>
      <c r="BZ86">
        <v>1</v>
      </c>
      <c r="CA86" s="39">
        <v>1</v>
      </c>
      <c r="CB86" s="39">
        <v>1</v>
      </c>
      <c r="CD86" s="39">
        <v>1</v>
      </c>
      <c r="CE86" s="39">
        <v>0</v>
      </c>
      <c r="CF86" s="39">
        <v>0</v>
      </c>
      <c r="CG86" s="39">
        <v>0</v>
      </c>
      <c r="CH86" s="39">
        <v>0</v>
      </c>
      <c r="CI86" s="39">
        <v>0</v>
      </c>
      <c r="CJ86" s="39">
        <v>0</v>
      </c>
      <c r="CK86" s="39">
        <v>0</v>
      </c>
      <c r="CL86" s="39">
        <v>0</v>
      </c>
      <c r="CM86" s="39">
        <v>0</v>
      </c>
      <c r="CN86" s="39">
        <v>0</v>
      </c>
      <c r="CO86">
        <f t="shared" si="39"/>
        <v>0</v>
      </c>
      <c r="CP86" s="39">
        <v>0</v>
      </c>
      <c r="CQ86" s="39">
        <v>0</v>
      </c>
      <c r="CR86" s="39">
        <v>0</v>
      </c>
      <c r="CS86" s="39">
        <v>0</v>
      </c>
      <c r="CT86" s="39">
        <v>0</v>
      </c>
      <c r="CU86" s="39">
        <v>0</v>
      </c>
      <c r="CV86" s="39">
        <v>0</v>
      </c>
      <c r="CW86" s="31"/>
      <c r="DA86" s="43">
        <v>43000</v>
      </c>
      <c r="DB86" s="66">
        <f t="shared" si="35"/>
        <v>7</v>
      </c>
      <c r="DC86" s="39" t="s">
        <v>5</v>
      </c>
      <c r="DD86" s="39">
        <v>1</v>
      </c>
      <c r="DE86" s="43">
        <v>43006</v>
      </c>
      <c r="DF86" s="39">
        <v>7</v>
      </c>
      <c r="DH86" s="39">
        <v>11.2</v>
      </c>
      <c r="DK86" s="80"/>
      <c r="DR86" s="39">
        <v>120</v>
      </c>
      <c r="DW86" s="43">
        <v>43000</v>
      </c>
      <c r="DX86" s="39">
        <v>21</v>
      </c>
      <c r="DY86">
        <f t="shared" si="47"/>
        <v>26</v>
      </c>
      <c r="DZ86">
        <v>1</v>
      </c>
      <c r="EA86" s="39">
        <v>26</v>
      </c>
      <c r="EB86">
        <v>1</v>
      </c>
      <c r="EC86" s="39">
        <v>1</v>
      </c>
      <c r="ED86">
        <f t="shared" si="48"/>
        <v>2.16</v>
      </c>
      <c r="EE86">
        <v>1</v>
      </c>
      <c r="EF86" s="39">
        <v>2.16</v>
      </c>
      <c r="EG86">
        <v>1</v>
      </c>
      <c r="EH86" s="39">
        <v>26</v>
      </c>
      <c r="EI86" s="62">
        <v>1</v>
      </c>
      <c r="EJ86" s="39">
        <v>26</v>
      </c>
      <c r="EK86">
        <v>0</v>
      </c>
      <c r="EL86">
        <f t="shared" si="36"/>
        <v>0</v>
      </c>
      <c r="FC86" s="39">
        <v>1</v>
      </c>
      <c r="FD86" s="39">
        <v>0</v>
      </c>
      <c r="FF86" s="39">
        <v>1</v>
      </c>
      <c r="FG86">
        <v>1</v>
      </c>
      <c r="FH86" s="43">
        <v>42651</v>
      </c>
      <c r="FI86" s="43"/>
      <c r="FJ86" s="43"/>
      <c r="FK86" s="39">
        <v>0</v>
      </c>
      <c r="FL86">
        <v>0</v>
      </c>
      <c r="FM86"/>
      <c r="FN86"/>
      <c r="FO86">
        <v>0</v>
      </c>
      <c r="FQ86" s="44">
        <v>43000</v>
      </c>
      <c r="FR86" s="45" t="s">
        <v>230</v>
      </c>
      <c r="FS86" s="45">
        <v>1</v>
      </c>
      <c r="FT86" s="45">
        <v>0</v>
      </c>
      <c r="FU86" s="45">
        <v>1</v>
      </c>
      <c r="FV86" s="45">
        <v>1</v>
      </c>
      <c r="FW86" s="45">
        <v>1</v>
      </c>
      <c r="FX86" s="45">
        <v>1</v>
      </c>
      <c r="FY86" s="45">
        <v>1</v>
      </c>
      <c r="FZ86" s="45">
        <v>0</v>
      </c>
      <c r="GA86" s="45">
        <v>0</v>
      </c>
      <c r="GB86" s="45">
        <v>0</v>
      </c>
      <c r="GC86" s="45">
        <v>0</v>
      </c>
      <c r="GD86" s="45">
        <v>1</v>
      </c>
      <c r="GE86" s="45">
        <v>1</v>
      </c>
      <c r="GF86" s="45">
        <v>0</v>
      </c>
      <c r="GG86" s="45">
        <v>0</v>
      </c>
      <c r="GH86" s="46">
        <v>0</v>
      </c>
      <c r="GI86" s="45">
        <v>1</v>
      </c>
      <c r="GJ86" s="45">
        <v>0</v>
      </c>
      <c r="GK86" s="45">
        <v>0</v>
      </c>
      <c r="GL86" s="45">
        <v>0</v>
      </c>
      <c r="GM86" s="45">
        <v>1</v>
      </c>
      <c r="GN86" s="45">
        <v>0</v>
      </c>
      <c r="GO86" s="45">
        <v>1</v>
      </c>
      <c r="GP86" s="45">
        <v>1</v>
      </c>
      <c r="GQ86" s="45">
        <v>0</v>
      </c>
      <c r="GR86" s="45">
        <v>1</v>
      </c>
      <c r="GS86" s="45">
        <v>1</v>
      </c>
      <c r="GT86" s="45">
        <v>0</v>
      </c>
      <c r="GU86" s="45">
        <v>0</v>
      </c>
      <c r="GV86" s="45">
        <v>1</v>
      </c>
      <c r="GW86" s="45">
        <v>0</v>
      </c>
      <c r="GX86" s="45" t="s">
        <v>232</v>
      </c>
      <c r="GY86" s="15">
        <v>0</v>
      </c>
      <c r="GZ86" s="15">
        <v>0</v>
      </c>
      <c r="HA86" s="45">
        <v>0</v>
      </c>
      <c r="HB86" s="45">
        <v>1</v>
      </c>
      <c r="HC86" s="45">
        <v>1</v>
      </c>
      <c r="HD86" s="45" t="s">
        <v>232</v>
      </c>
      <c r="HE86" s="15">
        <v>0</v>
      </c>
      <c r="HF86" s="15">
        <v>0</v>
      </c>
      <c r="HG86" s="45">
        <v>0</v>
      </c>
      <c r="HH86" s="45">
        <v>1</v>
      </c>
      <c r="HI86" s="45">
        <v>1</v>
      </c>
      <c r="HJ86" s="45">
        <v>1</v>
      </c>
      <c r="HK86" s="45">
        <v>0</v>
      </c>
      <c r="HL86" s="45">
        <v>1</v>
      </c>
      <c r="HM86" s="45">
        <v>0</v>
      </c>
      <c r="HN86" s="45">
        <v>1</v>
      </c>
      <c r="HO86" s="45">
        <v>1</v>
      </c>
      <c r="HP86" s="45">
        <v>0</v>
      </c>
      <c r="HQ86" s="45">
        <v>0</v>
      </c>
      <c r="HR86" s="45">
        <v>0</v>
      </c>
      <c r="HS86" s="45">
        <v>0</v>
      </c>
      <c r="HT86" s="45">
        <v>1</v>
      </c>
      <c r="HU86" s="45">
        <v>1</v>
      </c>
      <c r="HV86" s="45">
        <v>0</v>
      </c>
      <c r="HW86" s="45">
        <v>0</v>
      </c>
      <c r="HX86" s="45">
        <v>0</v>
      </c>
      <c r="HY86" s="45"/>
      <c r="HZ86" s="45"/>
      <c r="IA86" s="45"/>
      <c r="IB86" s="45"/>
      <c r="IC86" s="45"/>
      <c r="ID86" s="45"/>
      <c r="IE86" s="45"/>
      <c r="IF86" s="45"/>
      <c r="IG86" s="45"/>
      <c r="IH86" s="45"/>
      <c r="II86" s="45"/>
      <c r="IJ86" s="45"/>
      <c r="IK86" s="45"/>
      <c r="IL86" s="45"/>
      <c r="IM86" s="45"/>
      <c r="IN86" s="45"/>
      <c r="IO86" s="45"/>
      <c r="IP86" s="45"/>
      <c r="IQ86" s="45"/>
      <c r="IR86" s="45"/>
      <c r="IS86" s="45"/>
      <c r="IT86" s="45"/>
      <c r="IU86" s="45"/>
      <c r="IV86" s="45"/>
      <c r="IW86" s="45"/>
      <c r="IX86" s="45"/>
      <c r="IY86" s="45"/>
      <c r="IZ86" s="45"/>
      <c r="JA86" s="45"/>
      <c r="JB86" s="45"/>
      <c r="JC86" s="45"/>
      <c r="JD86" s="45"/>
      <c r="JE86" s="45"/>
      <c r="JF86" s="45"/>
      <c r="JG86" s="45"/>
      <c r="JH86" s="45"/>
      <c r="JI86" s="45"/>
      <c r="JJ86" s="45"/>
      <c r="JK86" s="45"/>
      <c r="JL86" s="45"/>
      <c r="JM86" s="45"/>
      <c r="JN86" s="45"/>
      <c r="JO86" s="45"/>
      <c r="JP86" s="45"/>
      <c r="JQ86" s="45"/>
      <c r="JR86" s="45"/>
      <c r="JS86" s="45"/>
      <c r="JT86" s="45"/>
      <c r="JU86" s="45"/>
      <c r="JV86" s="45"/>
      <c r="JW86" s="45"/>
      <c r="JX86" s="45"/>
      <c r="JY86" s="45"/>
      <c r="JZ86" s="45"/>
      <c r="KA86" s="45"/>
      <c r="KB86" s="45"/>
      <c r="KC86" s="45"/>
      <c r="KD86" s="45"/>
      <c r="KE86" s="45"/>
      <c r="KF86" s="45"/>
      <c r="KG86"/>
      <c r="KH86"/>
      <c r="KI86">
        <v>1</v>
      </c>
      <c r="KJ86">
        <v>0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0</v>
      </c>
      <c r="KQ86">
        <v>0</v>
      </c>
      <c r="KR86">
        <v>0</v>
      </c>
      <c r="KS86">
        <v>0</v>
      </c>
      <c r="KT86">
        <v>1</v>
      </c>
      <c r="KU86">
        <v>1</v>
      </c>
      <c r="KV86">
        <v>0</v>
      </c>
      <c r="KW86">
        <v>0</v>
      </c>
      <c r="KX86">
        <v>0</v>
      </c>
      <c r="KY86">
        <v>1</v>
      </c>
      <c r="KZ86">
        <v>0</v>
      </c>
      <c r="LA86">
        <v>0</v>
      </c>
      <c r="LB86">
        <v>0</v>
      </c>
      <c r="LC86">
        <v>1</v>
      </c>
      <c r="LD86">
        <v>0</v>
      </c>
      <c r="LE86">
        <v>1</v>
      </c>
      <c r="LF86">
        <v>1</v>
      </c>
      <c r="LG86">
        <v>0</v>
      </c>
      <c r="LH86">
        <v>1</v>
      </c>
      <c r="LI86">
        <v>1</v>
      </c>
      <c r="LJ86">
        <v>0</v>
      </c>
      <c r="LK86">
        <v>0</v>
      </c>
      <c r="LL86">
        <v>1</v>
      </c>
      <c r="LM86">
        <v>0</v>
      </c>
      <c r="LN86"/>
      <c r="LO86">
        <v>0</v>
      </c>
      <c r="LP86">
        <v>0</v>
      </c>
      <c r="LQ86">
        <v>0</v>
      </c>
      <c r="LR86">
        <v>1</v>
      </c>
      <c r="LS86">
        <v>1</v>
      </c>
      <c r="LT86"/>
      <c r="LU86">
        <v>0</v>
      </c>
      <c r="LV86">
        <v>0</v>
      </c>
      <c r="LW86">
        <v>0</v>
      </c>
      <c r="LX86">
        <v>1</v>
      </c>
      <c r="LY86">
        <v>1</v>
      </c>
      <c r="LZ86">
        <v>1</v>
      </c>
      <c r="MA86">
        <v>0</v>
      </c>
      <c r="MB86">
        <v>1</v>
      </c>
      <c r="MC86">
        <v>0</v>
      </c>
      <c r="MD86">
        <v>1</v>
      </c>
      <c r="ME86">
        <v>1</v>
      </c>
      <c r="MF86">
        <v>0</v>
      </c>
      <c r="MG86">
        <v>0</v>
      </c>
      <c r="MH86">
        <v>0</v>
      </c>
      <c r="MI86">
        <v>0</v>
      </c>
      <c r="MJ86">
        <v>1</v>
      </c>
      <c r="MK86">
        <v>1</v>
      </c>
      <c r="ML86">
        <v>0</v>
      </c>
      <c r="MM86">
        <v>0</v>
      </c>
      <c r="MN86">
        <v>0</v>
      </c>
      <c r="MO86">
        <v>1</v>
      </c>
      <c r="MP86">
        <v>0</v>
      </c>
      <c r="MQ86">
        <v>1</v>
      </c>
      <c r="MR86">
        <v>1</v>
      </c>
    </row>
    <row r="87" spans="1:358" ht="18" x14ac:dyDescent="0.25">
      <c r="A87" t="s">
        <v>479</v>
      </c>
      <c r="B87" s="3">
        <v>76</v>
      </c>
      <c r="C87" s="3">
        <v>0</v>
      </c>
      <c r="D87" s="3">
        <v>0</v>
      </c>
      <c r="E87" s="3"/>
      <c r="F87" s="55">
        <v>458</v>
      </c>
      <c r="G87" s="55"/>
      <c r="H87" s="57">
        <v>0</v>
      </c>
      <c r="I87" s="57">
        <v>0</v>
      </c>
      <c r="J87" s="57"/>
      <c r="K87" s="3"/>
      <c r="L87" s="3"/>
      <c r="M87" s="3"/>
      <c r="N87" s="3">
        <v>0</v>
      </c>
      <c r="O87" s="2">
        <v>45019</v>
      </c>
      <c r="P87" s="64">
        <f t="shared" si="32"/>
        <v>458</v>
      </c>
      <c r="Q87">
        <v>1</v>
      </c>
      <c r="R87">
        <v>0</v>
      </c>
      <c r="S87" t="s">
        <v>108</v>
      </c>
      <c r="T87">
        <v>94</v>
      </c>
      <c r="U87">
        <v>1</v>
      </c>
      <c r="V87">
        <v>1</v>
      </c>
      <c r="W87">
        <v>1</v>
      </c>
      <c r="X87">
        <v>1</v>
      </c>
      <c r="Y87">
        <v>1</v>
      </c>
      <c r="Z87">
        <v>0</v>
      </c>
      <c r="AA87">
        <v>1</v>
      </c>
      <c r="AB87">
        <v>0</v>
      </c>
      <c r="AC87">
        <v>1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62</v>
      </c>
      <c r="AO87">
        <v>171</v>
      </c>
      <c r="AP87">
        <v>21.2</v>
      </c>
      <c r="AQ87">
        <v>36.5</v>
      </c>
      <c r="AT87">
        <v>1</v>
      </c>
      <c r="AU87">
        <v>0</v>
      </c>
      <c r="AV87">
        <v>88</v>
      </c>
      <c r="AW87" s="1">
        <v>44561</v>
      </c>
      <c r="AX87" s="1">
        <v>44561</v>
      </c>
      <c r="AY87">
        <v>0</v>
      </c>
      <c r="AZ87" s="1">
        <v>44561</v>
      </c>
      <c r="BA87">
        <v>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 s="66">
        <v>0</v>
      </c>
      <c r="BN87">
        <v>0</v>
      </c>
      <c r="BO87">
        <v>0</v>
      </c>
      <c r="BP87" s="66">
        <f t="shared" si="45"/>
        <v>0</v>
      </c>
      <c r="BQ87">
        <v>0</v>
      </c>
      <c r="BR87">
        <v>0</v>
      </c>
      <c r="BS87">
        <v>0</v>
      </c>
      <c r="BT87">
        <v>0</v>
      </c>
      <c r="BU87" s="66">
        <f t="shared" si="46"/>
        <v>0</v>
      </c>
      <c r="BV87">
        <v>0</v>
      </c>
      <c r="BW87">
        <v>0</v>
      </c>
      <c r="BX87" s="66">
        <f t="shared" si="33"/>
        <v>0</v>
      </c>
      <c r="BY87">
        <v>0</v>
      </c>
      <c r="BZ87">
        <f t="shared" si="34"/>
        <v>0</v>
      </c>
      <c r="CA87">
        <v>0</v>
      </c>
      <c r="CB87">
        <v>0</v>
      </c>
      <c r="CC87">
        <v>2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f t="shared" si="39"/>
        <v>0</v>
      </c>
      <c r="CP87">
        <v>0</v>
      </c>
      <c r="CQ87">
        <v>1</v>
      </c>
      <c r="CR87">
        <v>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1</v>
      </c>
      <c r="CY87">
        <v>0</v>
      </c>
      <c r="DA87" s="1">
        <v>44564</v>
      </c>
      <c r="DB87" s="66">
        <f t="shared" si="35"/>
        <v>3</v>
      </c>
      <c r="DC87" t="s">
        <v>1</v>
      </c>
      <c r="DD87">
        <v>0</v>
      </c>
      <c r="DE87" s="1">
        <v>44573</v>
      </c>
      <c r="DF87">
        <v>10</v>
      </c>
      <c r="DG87" s="1">
        <v>44564</v>
      </c>
      <c r="DH87">
        <v>15</v>
      </c>
      <c r="DI87">
        <v>6.7</v>
      </c>
      <c r="DJ87">
        <v>1.3</v>
      </c>
      <c r="DK87" s="66">
        <v>214</v>
      </c>
      <c r="DL87">
        <v>6</v>
      </c>
      <c r="DM87">
        <v>66</v>
      </c>
      <c r="DO87">
        <v>1</v>
      </c>
      <c r="DP87">
        <v>214</v>
      </c>
      <c r="DR87">
        <v>68</v>
      </c>
      <c r="DS87">
        <v>8.3000000000000007</v>
      </c>
      <c r="DU87">
        <v>39</v>
      </c>
      <c r="DV87">
        <v>15</v>
      </c>
      <c r="DW87" s="1">
        <v>44561</v>
      </c>
      <c r="DX87">
        <v>9</v>
      </c>
      <c r="DY87">
        <v>12</v>
      </c>
      <c r="DZ87">
        <v>0</v>
      </c>
      <c r="EA87">
        <v>12</v>
      </c>
      <c r="EB87">
        <v>0</v>
      </c>
      <c r="EC87">
        <v>2.5</v>
      </c>
      <c r="ED87">
        <v>1</v>
      </c>
      <c r="EE87">
        <v>0</v>
      </c>
      <c r="EF87">
        <v>2.5</v>
      </c>
      <c r="EG87">
        <v>1</v>
      </c>
      <c r="EH87">
        <v>44</v>
      </c>
      <c r="EI87" s="62">
        <v>0.63636363636363602</v>
      </c>
      <c r="EJ87">
        <v>28</v>
      </c>
      <c r="EK87">
        <v>0</v>
      </c>
      <c r="EL87">
        <f t="shared" si="36"/>
        <v>-16</v>
      </c>
      <c r="EM87">
        <v>44</v>
      </c>
      <c r="EN87">
        <v>0</v>
      </c>
      <c r="EO87">
        <v>0</v>
      </c>
      <c r="ER87">
        <v>22</v>
      </c>
      <c r="ES87">
        <v>37</v>
      </c>
      <c r="ET87">
        <v>25</v>
      </c>
      <c r="EU87">
        <v>19</v>
      </c>
      <c r="EV87">
        <v>289</v>
      </c>
      <c r="EW87">
        <v>226</v>
      </c>
      <c r="EX87">
        <v>26</v>
      </c>
      <c r="EY87">
        <v>18</v>
      </c>
      <c r="FB87">
        <v>0</v>
      </c>
      <c r="FC87">
        <v>1</v>
      </c>
      <c r="FD87">
        <v>0</v>
      </c>
      <c r="FF87">
        <v>1</v>
      </c>
      <c r="FG87">
        <v>0</v>
      </c>
      <c r="FI87"/>
      <c r="FK87">
        <v>0</v>
      </c>
      <c r="FL87">
        <v>0</v>
      </c>
      <c r="FO87">
        <v>0</v>
      </c>
      <c r="FQ87" s="22">
        <v>44562</v>
      </c>
      <c r="FR87" s="22" t="s">
        <v>230</v>
      </c>
      <c r="FS87" s="15">
        <v>1</v>
      </c>
      <c r="FT87" s="15">
        <v>1</v>
      </c>
      <c r="FU87" s="15">
        <v>1</v>
      </c>
      <c r="FV87" s="15">
        <v>0</v>
      </c>
      <c r="FW87" s="15">
        <v>1</v>
      </c>
      <c r="FX87" s="15">
        <v>0</v>
      </c>
      <c r="FY87" s="15">
        <v>0</v>
      </c>
      <c r="FZ87" s="15">
        <v>0</v>
      </c>
      <c r="GA87" s="15">
        <v>0</v>
      </c>
      <c r="GB87" s="15">
        <v>0</v>
      </c>
      <c r="GC87" s="15">
        <v>1</v>
      </c>
      <c r="GD87" s="15">
        <v>1</v>
      </c>
      <c r="GE87" s="15">
        <v>1</v>
      </c>
      <c r="GF87" s="15">
        <v>0</v>
      </c>
      <c r="GG87" s="15">
        <v>0</v>
      </c>
      <c r="GH87" s="15">
        <v>0</v>
      </c>
      <c r="GI87" s="15">
        <v>1</v>
      </c>
      <c r="GJ87" s="15">
        <v>0</v>
      </c>
      <c r="GK87" s="15">
        <v>0</v>
      </c>
      <c r="GL87" s="15">
        <v>1</v>
      </c>
      <c r="GM87" s="15">
        <v>0</v>
      </c>
      <c r="GN87" s="15">
        <v>0</v>
      </c>
      <c r="GO87" s="15">
        <v>0</v>
      </c>
      <c r="GP87" s="15">
        <v>0</v>
      </c>
      <c r="GQ87" s="15">
        <v>0</v>
      </c>
      <c r="GR87" s="15">
        <v>0</v>
      </c>
      <c r="GS87" s="15">
        <v>0</v>
      </c>
      <c r="GT87" s="15">
        <v>0</v>
      </c>
      <c r="GU87" s="15">
        <v>1</v>
      </c>
      <c r="GV87" s="15">
        <v>0</v>
      </c>
      <c r="GW87" s="15">
        <v>0</v>
      </c>
      <c r="GX87" s="15">
        <v>0</v>
      </c>
      <c r="GY87" s="15">
        <v>0</v>
      </c>
      <c r="GZ87" s="15">
        <v>0</v>
      </c>
      <c r="HA87" s="15">
        <v>0</v>
      </c>
      <c r="HB87" s="15">
        <v>0</v>
      </c>
      <c r="HC87" s="15">
        <v>0</v>
      </c>
      <c r="HD87" s="15" t="s">
        <v>291</v>
      </c>
      <c r="HE87" s="45">
        <v>1</v>
      </c>
      <c r="HF87" s="45">
        <v>1</v>
      </c>
      <c r="HG87" s="15">
        <v>1</v>
      </c>
      <c r="HH87" s="15">
        <v>1</v>
      </c>
      <c r="HI87" s="15">
        <v>1</v>
      </c>
      <c r="HJ87" s="15">
        <v>1</v>
      </c>
      <c r="HK87" s="15">
        <v>0</v>
      </c>
      <c r="HL87" s="15">
        <v>1</v>
      </c>
      <c r="HM87" s="15">
        <v>0</v>
      </c>
      <c r="HN87" s="15">
        <v>1</v>
      </c>
      <c r="HO87" s="15">
        <v>1</v>
      </c>
      <c r="HP87" s="15">
        <v>0</v>
      </c>
      <c r="HQ87" s="15">
        <v>0</v>
      </c>
      <c r="HR87" s="15">
        <v>0</v>
      </c>
      <c r="HS87" s="15">
        <v>0</v>
      </c>
      <c r="HT87" s="15">
        <v>0</v>
      </c>
      <c r="HU87" s="15">
        <v>1</v>
      </c>
      <c r="HV87" s="15">
        <v>0</v>
      </c>
      <c r="HW87" s="15">
        <v>1</v>
      </c>
      <c r="HX87" s="15">
        <v>0</v>
      </c>
      <c r="HY87" s="22">
        <v>44575</v>
      </c>
      <c r="HZ87" s="15" t="s">
        <v>231</v>
      </c>
      <c r="IA87" s="15">
        <v>1</v>
      </c>
      <c r="IB87" s="15">
        <v>1</v>
      </c>
      <c r="IC87" s="15">
        <v>1</v>
      </c>
      <c r="ID87" s="15">
        <v>1</v>
      </c>
      <c r="IE87" s="15">
        <v>1</v>
      </c>
      <c r="IF87" s="15">
        <v>0</v>
      </c>
      <c r="IG87" s="15">
        <v>0</v>
      </c>
      <c r="IH87" s="15">
        <v>0</v>
      </c>
      <c r="II87" s="15">
        <v>0</v>
      </c>
      <c r="IJ87" s="15">
        <v>0</v>
      </c>
      <c r="IK87" s="15">
        <v>0</v>
      </c>
      <c r="IL87" s="15">
        <v>1</v>
      </c>
      <c r="IM87" s="15">
        <v>0</v>
      </c>
      <c r="IN87" s="15">
        <v>0</v>
      </c>
      <c r="IO87" s="15">
        <v>0</v>
      </c>
      <c r="IP87" s="15">
        <v>0</v>
      </c>
      <c r="IQ87" s="15">
        <v>1</v>
      </c>
      <c r="IR87" s="15">
        <v>0</v>
      </c>
      <c r="IS87" s="15">
        <v>0</v>
      </c>
      <c r="IT87" s="15">
        <v>1</v>
      </c>
      <c r="IU87" s="15">
        <v>0</v>
      </c>
      <c r="IV87" s="15">
        <v>0</v>
      </c>
      <c r="IW87" s="15">
        <v>0</v>
      </c>
      <c r="IX87" s="15">
        <v>0</v>
      </c>
      <c r="IY87" s="15">
        <v>0</v>
      </c>
      <c r="IZ87" s="15">
        <v>0</v>
      </c>
      <c r="JA87" s="15">
        <v>0</v>
      </c>
      <c r="JB87" s="15">
        <v>0</v>
      </c>
      <c r="JC87" s="15">
        <v>1</v>
      </c>
      <c r="JD87" s="15">
        <v>0</v>
      </c>
      <c r="JE87" s="15">
        <v>0</v>
      </c>
      <c r="JF87" s="15">
        <v>0</v>
      </c>
      <c r="JG87" s="15">
        <v>0</v>
      </c>
      <c r="JH87" s="15">
        <v>0</v>
      </c>
      <c r="JI87" s="15">
        <v>0</v>
      </c>
      <c r="JJ87" s="15">
        <v>0</v>
      </c>
      <c r="JK87" s="15">
        <v>0</v>
      </c>
      <c r="JL87" s="15">
        <v>100</v>
      </c>
      <c r="JM87" s="15">
        <v>1</v>
      </c>
      <c r="JN87" s="15">
        <v>1</v>
      </c>
      <c r="JO87" s="15">
        <v>1</v>
      </c>
      <c r="JP87" s="15">
        <v>0</v>
      </c>
      <c r="JQ87" s="15">
        <v>0</v>
      </c>
      <c r="JR87" s="15">
        <v>0</v>
      </c>
      <c r="JS87" s="15">
        <v>0</v>
      </c>
      <c r="JT87" s="15">
        <v>0</v>
      </c>
      <c r="JU87" s="15">
        <v>0</v>
      </c>
      <c r="JV87" s="15">
        <v>0</v>
      </c>
      <c r="JW87" s="15">
        <v>1</v>
      </c>
      <c r="JX87" s="15">
        <v>0</v>
      </c>
      <c r="JY87" s="15">
        <v>0</v>
      </c>
      <c r="JZ87" s="15">
        <v>0</v>
      </c>
      <c r="KA87" s="15">
        <v>0</v>
      </c>
      <c r="KB87" s="15">
        <v>1</v>
      </c>
      <c r="KC87" s="15">
        <v>1</v>
      </c>
      <c r="KD87" s="15">
        <v>0</v>
      </c>
      <c r="KE87" s="15">
        <v>1</v>
      </c>
      <c r="KF87" s="15">
        <v>0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1</v>
      </c>
      <c r="KT87">
        <v>1</v>
      </c>
      <c r="KU87">
        <v>1</v>
      </c>
      <c r="KV87">
        <v>0</v>
      </c>
      <c r="KW87">
        <v>0</v>
      </c>
      <c r="KX87">
        <v>0</v>
      </c>
      <c r="KY87">
        <v>1</v>
      </c>
      <c r="KZ87">
        <v>0</v>
      </c>
      <c r="LA87">
        <v>0</v>
      </c>
      <c r="LB87">
        <v>1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1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0</v>
      </c>
      <c r="MB87">
        <v>1</v>
      </c>
      <c r="MC87">
        <v>0</v>
      </c>
      <c r="MD87">
        <v>1</v>
      </c>
      <c r="ME87">
        <v>1</v>
      </c>
      <c r="MF87">
        <v>0</v>
      </c>
      <c r="MG87">
        <v>0</v>
      </c>
      <c r="MH87">
        <v>0</v>
      </c>
      <c r="MI87">
        <v>0</v>
      </c>
      <c r="MJ87">
        <v>1</v>
      </c>
      <c r="MK87">
        <v>1</v>
      </c>
      <c r="ML87">
        <v>0</v>
      </c>
      <c r="MM87">
        <v>1</v>
      </c>
      <c r="MN87">
        <v>0</v>
      </c>
      <c r="MO87">
        <v>1</v>
      </c>
      <c r="MP87">
        <v>0</v>
      </c>
      <c r="MQ87">
        <v>1</v>
      </c>
      <c r="MR87">
        <v>1</v>
      </c>
      <c r="MS87">
        <v>0</v>
      </c>
      <c r="MT87">
        <v>0</v>
      </c>
    </row>
    <row r="88" spans="1:358" ht="18" x14ac:dyDescent="0.25">
      <c r="A88" t="s">
        <v>480</v>
      </c>
      <c r="B88" s="3">
        <v>63</v>
      </c>
      <c r="C88" s="3">
        <v>0</v>
      </c>
      <c r="D88" s="3">
        <v>1</v>
      </c>
      <c r="E88" s="26">
        <v>44763</v>
      </c>
      <c r="F88" s="61">
        <v>2</v>
      </c>
      <c r="G88" s="61"/>
      <c r="H88" s="57">
        <v>0</v>
      </c>
      <c r="I88" s="57"/>
      <c r="J88" s="58"/>
      <c r="K88" s="2">
        <v>44763</v>
      </c>
      <c r="L88" s="65">
        <v>1</v>
      </c>
      <c r="M88" s="2">
        <v>44813</v>
      </c>
      <c r="N88" s="3">
        <v>0</v>
      </c>
      <c r="O88" s="2">
        <v>45079</v>
      </c>
      <c r="P88" s="64">
        <f t="shared" si="32"/>
        <v>318</v>
      </c>
      <c r="Q88">
        <v>1</v>
      </c>
      <c r="R88">
        <v>0</v>
      </c>
      <c r="S88">
        <v>1</v>
      </c>
      <c r="T88">
        <v>92</v>
      </c>
      <c r="U88">
        <v>0</v>
      </c>
      <c r="V88">
        <v>1</v>
      </c>
      <c r="W88">
        <v>1</v>
      </c>
      <c r="X88">
        <v>0</v>
      </c>
      <c r="Y88">
        <v>1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99</v>
      </c>
      <c r="AO88">
        <v>177</v>
      </c>
      <c r="AP88">
        <v>31.6</v>
      </c>
      <c r="AQ88">
        <v>37.299999999999997</v>
      </c>
      <c r="AR88">
        <v>141</v>
      </c>
      <c r="AS88">
        <v>189</v>
      </c>
      <c r="AV88">
        <v>113</v>
      </c>
      <c r="AW88" s="1">
        <v>44761</v>
      </c>
      <c r="AX88" s="1">
        <v>44761</v>
      </c>
      <c r="AY88">
        <v>0</v>
      </c>
      <c r="AZ88" s="1">
        <v>44759</v>
      </c>
      <c r="BA88">
        <v>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1</v>
      </c>
      <c r="BJ88" s="39">
        <v>3</v>
      </c>
      <c r="BK88">
        <v>0</v>
      </c>
      <c r="BL88">
        <v>0</v>
      </c>
      <c r="BM88" s="66">
        <v>0</v>
      </c>
      <c r="BN88">
        <v>0</v>
      </c>
      <c r="BO88">
        <v>0</v>
      </c>
      <c r="BP88" s="66">
        <f t="shared" si="45"/>
        <v>3</v>
      </c>
      <c r="BQ88" s="39">
        <v>1</v>
      </c>
      <c r="BR88" s="39">
        <v>3</v>
      </c>
      <c r="BS88">
        <v>3</v>
      </c>
      <c r="BT88">
        <v>0</v>
      </c>
      <c r="BU88" s="66">
        <f t="shared" si="46"/>
        <v>0</v>
      </c>
      <c r="BV88">
        <v>0</v>
      </c>
      <c r="BW88">
        <v>0</v>
      </c>
      <c r="BX88" s="66">
        <f t="shared" si="33"/>
        <v>6</v>
      </c>
      <c r="BY88" s="39">
        <v>1</v>
      </c>
      <c r="BZ88">
        <v>1</v>
      </c>
      <c r="CA88">
        <v>1</v>
      </c>
      <c r="CB88">
        <v>1</v>
      </c>
      <c r="CC88">
        <v>5</v>
      </c>
      <c r="CD88">
        <v>1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f t="shared" si="39"/>
        <v>0</v>
      </c>
      <c r="CP88">
        <v>0</v>
      </c>
      <c r="CQ88">
        <v>0</v>
      </c>
      <c r="CR88">
        <v>1</v>
      </c>
      <c r="CS88">
        <v>0</v>
      </c>
      <c r="CT88">
        <v>0</v>
      </c>
      <c r="CU88">
        <v>0</v>
      </c>
      <c r="CV88">
        <v>0</v>
      </c>
      <c r="CW88">
        <v>0</v>
      </c>
      <c r="DA88" s="1">
        <v>44767</v>
      </c>
      <c r="DB88" s="66">
        <f t="shared" si="35"/>
        <v>8</v>
      </c>
      <c r="DC88" t="s">
        <v>1</v>
      </c>
      <c r="DD88">
        <v>1</v>
      </c>
      <c r="DE88" s="1">
        <v>44783</v>
      </c>
      <c r="DF88">
        <v>17</v>
      </c>
      <c r="DG88" s="1">
        <v>44762</v>
      </c>
      <c r="DH88">
        <v>16.600000000000001</v>
      </c>
      <c r="DI88">
        <v>21</v>
      </c>
      <c r="DJ88">
        <v>0.8</v>
      </c>
      <c r="DK88" s="66">
        <v>335</v>
      </c>
      <c r="DL88">
        <v>4.3600000000000003</v>
      </c>
      <c r="DM88">
        <v>62</v>
      </c>
      <c r="DN88">
        <v>10161</v>
      </c>
      <c r="DO88">
        <v>1</v>
      </c>
      <c r="DP88">
        <v>335</v>
      </c>
      <c r="DQ88">
        <v>10161</v>
      </c>
      <c r="DR88">
        <v>75</v>
      </c>
      <c r="DS88">
        <v>3.4</v>
      </c>
      <c r="DV88">
        <v>13</v>
      </c>
      <c r="DW88" s="1">
        <v>44761</v>
      </c>
      <c r="DX88">
        <v>25</v>
      </c>
      <c r="DY88">
        <v>31</v>
      </c>
      <c r="DZ88">
        <v>1</v>
      </c>
      <c r="EA88">
        <v>31</v>
      </c>
      <c r="EB88">
        <v>1</v>
      </c>
      <c r="EC88">
        <v>11.6</v>
      </c>
      <c r="ED88">
        <v>3.7</v>
      </c>
      <c r="EE88">
        <v>1</v>
      </c>
      <c r="EF88">
        <v>11.6</v>
      </c>
      <c r="EG88">
        <v>1</v>
      </c>
      <c r="EH88">
        <v>65</v>
      </c>
      <c r="EI88" s="62">
        <v>2.3076923076923102</v>
      </c>
      <c r="EJ88">
        <v>150</v>
      </c>
      <c r="EK88">
        <v>0</v>
      </c>
      <c r="EL88">
        <f t="shared" si="36"/>
        <v>85</v>
      </c>
      <c r="EM88">
        <v>150</v>
      </c>
      <c r="EN88">
        <v>0</v>
      </c>
      <c r="ER88">
        <v>13</v>
      </c>
      <c r="ET88">
        <v>24</v>
      </c>
      <c r="EU88">
        <v>14</v>
      </c>
      <c r="EV88">
        <v>519</v>
      </c>
      <c r="EW88">
        <v>134</v>
      </c>
      <c r="EX88">
        <v>22</v>
      </c>
      <c r="EY88">
        <v>9</v>
      </c>
      <c r="FA88">
        <v>7.26</v>
      </c>
      <c r="FC88">
        <v>1</v>
      </c>
      <c r="FD88">
        <v>1</v>
      </c>
      <c r="FE88" s="39" t="e">
        <f>#REF!</f>
        <v>#REF!</v>
      </c>
      <c r="FF88">
        <v>1</v>
      </c>
      <c r="FG88">
        <v>1</v>
      </c>
      <c r="FH88" s="1">
        <v>44767</v>
      </c>
      <c r="FI88" s="1"/>
      <c r="FJ88" s="1"/>
      <c r="FK88">
        <v>0</v>
      </c>
      <c r="FL88">
        <v>0</v>
      </c>
      <c r="FO88">
        <v>0</v>
      </c>
      <c r="FQ88" s="22">
        <v>44761</v>
      </c>
      <c r="FR88" s="22" t="s">
        <v>230</v>
      </c>
      <c r="FS88" s="15">
        <v>1</v>
      </c>
      <c r="FT88" s="15">
        <v>1</v>
      </c>
      <c r="FU88" s="15">
        <v>1</v>
      </c>
      <c r="FV88" s="15">
        <v>0</v>
      </c>
      <c r="FW88" s="15">
        <v>1</v>
      </c>
      <c r="FX88" s="15">
        <v>0</v>
      </c>
      <c r="FY88" s="15">
        <v>0</v>
      </c>
      <c r="FZ88" s="15">
        <v>0</v>
      </c>
      <c r="GA88" s="15">
        <v>0</v>
      </c>
      <c r="GB88" s="15">
        <v>1</v>
      </c>
      <c r="GC88" s="15">
        <v>1</v>
      </c>
      <c r="GD88" s="15">
        <v>1</v>
      </c>
      <c r="GE88" s="15">
        <v>0</v>
      </c>
      <c r="GF88" s="15">
        <v>0</v>
      </c>
      <c r="GG88" s="15">
        <v>0</v>
      </c>
      <c r="GH88" s="15">
        <v>0</v>
      </c>
      <c r="GI88" s="15">
        <v>1</v>
      </c>
      <c r="GJ88" s="15">
        <v>0</v>
      </c>
      <c r="GK88" s="15">
        <v>0</v>
      </c>
      <c r="GL88" s="15">
        <v>0</v>
      </c>
      <c r="GM88" s="15">
        <v>1</v>
      </c>
      <c r="GN88" s="15">
        <v>0</v>
      </c>
      <c r="GO88" s="15">
        <v>0</v>
      </c>
      <c r="GP88" s="15">
        <v>0</v>
      </c>
      <c r="GQ88" s="15">
        <v>0</v>
      </c>
      <c r="GR88" s="15">
        <v>0</v>
      </c>
      <c r="GS88" s="15">
        <v>0</v>
      </c>
      <c r="GT88" s="15">
        <v>1</v>
      </c>
      <c r="GU88" s="15">
        <v>1</v>
      </c>
      <c r="GV88" s="15">
        <v>0</v>
      </c>
      <c r="GW88" s="15">
        <v>0</v>
      </c>
      <c r="GX88" s="15">
        <v>0</v>
      </c>
      <c r="GY88" s="15">
        <v>0</v>
      </c>
      <c r="GZ88" s="15">
        <v>0</v>
      </c>
      <c r="HA88" s="15">
        <v>0</v>
      </c>
      <c r="HB88" s="15">
        <v>1</v>
      </c>
      <c r="HC88" s="15">
        <v>0</v>
      </c>
      <c r="HD88" s="15">
        <v>0</v>
      </c>
      <c r="HE88" s="15">
        <v>0</v>
      </c>
      <c r="HF88" s="15">
        <v>0</v>
      </c>
      <c r="HG88" s="15">
        <v>0</v>
      </c>
      <c r="HH88" s="15">
        <v>1</v>
      </c>
      <c r="HI88" s="15">
        <v>1</v>
      </c>
      <c r="HJ88" s="15">
        <v>1</v>
      </c>
      <c r="HK88" s="15">
        <v>1</v>
      </c>
      <c r="HL88" s="15">
        <v>1</v>
      </c>
      <c r="HM88" s="15">
        <v>0</v>
      </c>
      <c r="HN88" s="15">
        <v>1</v>
      </c>
      <c r="HO88" s="15">
        <v>1</v>
      </c>
      <c r="HP88" s="15">
        <v>0</v>
      </c>
      <c r="HQ88" s="15">
        <v>0</v>
      </c>
      <c r="HR88" s="15">
        <v>0</v>
      </c>
      <c r="HS88" s="15">
        <v>0</v>
      </c>
      <c r="HT88" s="15">
        <v>1</v>
      </c>
      <c r="HU88" s="15">
        <v>1</v>
      </c>
      <c r="HV88" s="15">
        <v>0</v>
      </c>
      <c r="HW88" s="15">
        <v>0</v>
      </c>
      <c r="HX88" s="15">
        <v>0</v>
      </c>
      <c r="HY88" s="22">
        <v>44763</v>
      </c>
      <c r="HZ88" s="15" t="s">
        <v>231</v>
      </c>
      <c r="IA88" s="15">
        <v>0</v>
      </c>
      <c r="IB88" s="15">
        <v>0</v>
      </c>
      <c r="IC88" s="15">
        <v>1</v>
      </c>
      <c r="ID88" s="15">
        <v>0</v>
      </c>
      <c r="IE88" s="15">
        <v>1</v>
      </c>
      <c r="IF88" s="15">
        <v>0</v>
      </c>
      <c r="IG88" s="15">
        <v>0</v>
      </c>
      <c r="IH88" s="15">
        <v>0</v>
      </c>
      <c r="II88" s="15">
        <v>0</v>
      </c>
      <c r="IJ88" s="15">
        <v>1</v>
      </c>
      <c r="IK88" s="15">
        <v>1</v>
      </c>
      <c r="IL88" s="15">
        <v>1</v>
      </c>
      <c r="IM88" s="15">
        <v>0</v>
      </c>
      <c r="IN88" s="15">
        <v>0</v>
      </c>
      <c r="IO88" s="15">
        <v>0</v>
      </c>
      <c r="IP88" s="15">
        <v>0</v>
      </c>
      <c r="IQ88" s="15">
        <v>1</v>
      </c>
      <c r="IR88" s="15">
        <v>0</v>
      </c>
      <c r="IS88" s="15">
        <v>0</v>
      </c>
      <c r="IT88" s="15">
        <v>0</v>
      </c>
      <c r="IU88" s="15">
        <v>1</v>
      </c>
      <c r="IV88" s="15">
        <v>0</v>
      </c>
      <c r="IW88" s="15">
        <v>1</v>
      </c>
      <c r="IX88" s="15">
        <v>1</v>
      </c>
      <c r="IY88" s="15">
        <v>0</v>
      </c>
      <c r="IZ88" s="15">
        <v>0</v>
      </c>
      <c r="JA88" s="15">
        <v>0</v>
      </c>
      <c r="JB88" s="15">
        <v>1</v>
      </c>
      <c r="JC88" s="15">
        <v>1</v>
      </c>
      <c r="JD88" s="15">
        <v>0</v>
      </c>
      <c r="JE88" s="15">
        <v>0</v>
      </c>
      <c r="JF88" s="15">
        <v>0</v>
      </c>
      <c r="JG88" s="15">
        <v>0</v>
      </c>
      <c r="JH88" s="15">
        <v>0</v>
      </c>
      <c r="JI88" s="15">
        <v>0</v>
      </c>
      <c r="JJ88" s="15">
        <v>1</v>
      </c>
      <c r="JK88" s="15">
        <v>0</v>
      </c>
      <c r="JL88" s="15">
        <v>0</v>
      </c>
      <c r="JM88" s="15">
        <v>0</v>
      </c>
      <c r="JN88" s="15">
        <v>0</v>
      </c>
      <c r="JO88" s="15">
        <v>0</v>
      </c>
      <c r="JP88" s="15">
        <v>1</v>
      </c>
      <c r="JQ88" s="15">
        <v>1</v>
      </c>
      <c r="JR88" s="15">
        <v>1</v>
      </c>
      <c r="JS88" s="15">
        <v>1</v>
      </c>
      <c r="JT88" s="15">
        <v>1</v>
      </c>
      <c r="JU88" s="15"/>
      <c r="JV88" s="15">
        <v>1</v>
      </c>
      <c r="JW88" s="15">
        <v>1</v>
      </c>
      <c r="JX88" s="15">
        <v>0</v>
      </c>
      <c r="JY88" s="15">
        <v>0</v>
      </c>
      <c r="JZ88" s="15">
        <v>0</v>
      </c>
      <c r="KA88" s="15">
        <v>0</v>
      </c>
      <c r="KB88" s="15">
        <v>1</v>
      </c>
      <c r="KC88" s="15">
        <v>1</v>
      </c>
      <c r="KD88" s="15">
        <v>0</v>
      </c>
      <c r="KE88" s="15">
        <v>0</v>
      </c>
      <c r="KF88" s="15">
        <v>0</v>
      </c>
      <c r="KI88">
        <v>1</v>
      </c>
      <c r="KJ88">
        <v>1</v>
      </c>
      <c r="KK88">
        <v>1</v>
      </c>
      <c r="KL88">
        <v>0</v>
      </c>
      <c r="KM88">
        <v>1</v>
      </c>
      <c r="KN88">
        <v>0</v>
      </c>
      <c r="KO88">
        <v>0</v>
      </c>
      <c r="KP88">
        <v>0</v>
      </c>
      <c r="KQ88">
        <v>0</v>
      </c>
      <c r="KR88">
        <v>1</v>
      </c>
      <c r="KS88">
        <v>1</v>
      </c>
      <c r="KT88">
        <v>1</v>
      </c>
      <c r="KU88">
        <v>0</v>
      </c>
      <c r="KV88">
        <v>0</v>
      </c>
      <c r="KW88">
        <v>0</v>
      </c>
      <c r="KX88">
        <v>0</v>
      </c>
      <c r="KY88">
        <v>1</v>
      </c>
      <c r="KZ88">
        <v>0</v>
      </c>
      <c r="LA88">
        <v>0</v>
      </c>
      <c r="LB88">
        <v>0</v>
      </c>
      <c r="LC88">
        <v>1</v>
      </c>
      <c r="LD88">
        <v>0</v>
      </c>
      <c r="LE88">
        <v>1</v>
      </c>
      <c r="LF88">
        <v>1</v>
      </c>
      <c r="LG88">
        <v>0</v>
      </c>
      <c r="LH88">
        <v>0</v>
      </c>
      <c r="LI88">
        <v>0</v>
      </c>
      <c r="LJ88">
        <v>1</v>
      </c>
      <c r="LK88">
        <v>1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1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0</v>
      </c>
      <c r="MD88">
        <v>1</v>
      </c>
      <c r="ME88">
        <v>1</v>
      </c>
      <c r="MF88">
        <v>0</v>
      </c>
      <c r="MG88">
        <v>0</v>
      </c>
      <c r="MH88">
        <v>0</v>
      </c>
      <c r="MI88">
        <v>0</v>
      </c>
      <c r="MJ88">
        <v>1</v>
      </c>
      <c r="MK88">
        <v>1</v>
      </c>
      <c r="ML88">
        <v>0</v>
      </c>
      <c r="MM88">
        <v>0</v>
      </c>
      <c r="MN88">
        <v>0</v>
      </c>
      <c r="MO88">
        <v>1</v>
      </c>
      <c r="MP88">
        <v>0</v>
      </c>
      <c r="MQ88">
        <v>1</v>
      </c>
      <c r="MR88">
        <v>1</v>
      </c>
      <c r="MS88">
        <v>1</v>
      </c>
      <c r="MT88">
        <v>1</v>
      </c>
    </row>
    <row r="89" spans="1:358" s="39" customFormat="1" ht="18" x14ac:dyDescent="0.25">
      <c r="A89" t="s">
        <v>481</v>
      </c>
      <c r="B89" s="40">
        <v>74</v>
      </c>
      <c r="C89" s="40">
        <v>0</v>
      </c>
      <c r="D89" s="40">
        <v>0</v>
      </c>
      <c r="E89" s="40"/>
      <c r="F89" s="55">
        <v>2732</v>
      </c>
      <c r="G89" s="55"/>
      <c r="H89" s="57">
        <v>0</v>
      </c>
      <c r="I89" s="57">
        <v>0</v>
      </c>
      <c r="J89" s="57"/>
      <c r="K89" s="40"/>
      <c r="L89" s="40"/>
      <c r="M89" s="40"/>
      <c r="N89" s="40">
        <v>0</v>
      </c>
      <c r="O89" s="42">
        <v>45083</v>
      </c>
      <c r="P89" s="64">
        <f t="shared" si="32"/>
        <v>2732</v>
      </c>
      <c r="Q89" s="39">
        <v>1</v>
      </c>
      <c r="R89" s="39">
        <v>1</v>
      </c>
      <c r="S89" s="39">
        <v>1</v>
      </c>
      <c r="T89" s="39">
        <v>75</v>
      </c>
      <c r="U89" s="39">
        <v>0</v>
      </c>
      <c r="V89" s="39">
        <v>1</v>
      </c>
      <c r="W89" s="39">
        <v>0</v>
      </c>
      <c r="X89" s="39">
        <v>0</v>
      </c>
      <c r="Y89" s="39">
        <v>0</v>
      </c>
      <c r="Z89" s="39">
        <v>1</v>
      </c>
      <c r="AA89" s="39">
        <v>0</v>
      </c>
      <c r="AB89" s="39">
        <v>0</v>
      </c>
      <c r="AC89" s="39">
        <v>0</v>
      </c>
      <c r="AD89" s="39">
        <v>0</v>
      </c>
      <c r="AE89" s="39">
        <v>0</v>
      </c>
      <c r="AF89" s="39">
        <v>0</v>
      </c>
      <c r="AG89" s="39">
        <v>0</v>
      </c>
      <c r="AH89" s="39">
        <v>0</v>
      </c>
      <c r="AI89" s="39">
        <v>0</v>
      </c>
      <c r="AJ89" s="39">
        <v>0</v>
      </c>
      <c r="AK89" s="39">
        <v>0</v>
      </c>
      <c r="AL89" s="39">
        <v>0</v>
      </c>
      <c r="AM89" s="39">
        <v>0</v>
      </c>
      <c r="AN89" s="39">
        <v>80</v>
      </c>
      <c r="AO89" s="39">
        <v>160</v>
      </c>
      <c r="AP89" s="39">
        <v>31.2</v>
      </c>
      <c r="AQ89" s="39">
        <v>36.5</v>
      </c>
      <c r="AR89" s="39">
        <v>124</v>
      </c>
      <c r="AS89" s="39">
        <v>82</v>
      </c>
      <c r="AV89" s="39">
        <v>84</v>
      </c>
      <c r="AW89" s="43">
        <v>42351</v>
      </c>
      <c r="AX89" s="43">
        <v>42351</v>
      </c>
      <c r="AY89" s="39">
        <v>0</v>
      </c>
      <c r="AZ89" s="43">
        <v>42346</v>
      </c>
      <c r="BA89" s="39">
        <v>1</v>
      </c>
      <c r="BB89" s="39">
        <v>0</v>
      </c>
      <c r="BC89" s="39">
        <v>1</v>
      </c>
      <c r="BD89" s="39">
        <v>1</v>
      </c>
      <c r="BE89" s="39">
        <v>0</v>
      </c>
      <c r="BF89" s="39">
        <v>0</v>
      </c>
      <c r="BG89" s="39">
        <v>0</v>
      </c>
      <c r="BH89" s="39">
        <v>0</v>
      </c>
      <c r="BI89" s="39">
        <v>1</v>
      </c>
      <c r="BJ89" s="78">
        <v>0</v>
      </c>
      <c r="BK89" s="78">
        <v>0</v>
      </c>
      <c r="BL89" s="78">
        <v>0</v>
      </c>
      <c r="BM89" s="66">
        <v>0</v>
      </c>
      <c r="BN89" s="78">
        <v>0</v>
      </c>
      <c r="BO89" s="78">
        <v>0</v>
      </c>
      <c r="BP89" s="78">
        <v>0</v>
      </c>
      <c r="BQ89">
        <v>0</v>
      </c>
      <c r="BR89" s="78">
        <v>0</v>
      </c>
      <c r="BS89" s="78">
        <v>0</v>
      </c>
      <c r="BT89" s="78">
        <v>0</v>
      </c>
      <c r="BU89" s="78">
        <v>0</v>
      </c>
      <c r="BV89" s="78">
        <v>0</v>
      </c>
      <c r="BW89" s="78">
        <v>0</v>
      </c>
      <c r="BX89" s="66">
        <f t="shared" si="33"/>
        <v>0</v>
      </c>
      <c r="BY89">
        <v>0</v>
      </c>
      <c r="BZ89">
        <f t="shared" si="34"/>
        <v>0</v>
      </c>
      <c r="CA89" s="39">
        <v>0</v>
      </c>
      <c r="CD89" s="39">
        <v>0</v>
      </c>
      <c r="CE89" s="39">
        <v>0</v>
      </c>
      <c r="CG89" s="39">
        <v>0</v>
      </c>
      <c r="CO89">
        <f t="shared" si="39"/>
        <v>0</v>
      </c>
      <c r="CP89" s="39">
        <v>0</v>
      </c>
      <c r="CQ89" s="39">
        <v>0</v>
      </c>
      <c r="CR89" s="39">
        <v>0</v>
      </c>
      <c r="CS89" s="39">
        <v>0</v>
      </c>
      <c r="CT89" s="39">
        <v>0</v>
      </c>
      <c r="CW89" s="31"/>
      <c r="DA89" s="43">
        <v>42351</v>
      </c>
      <c r="DB89" s="66">
        <f t="shared" si="35"/>
        <v>5</v>
      </c>
      <c r="DC89" s="39" t="s">
        <v>1</v>
      </c>
      <c r="DE89" s="43">
        <v>42362</v>
      </c>
      <c r="DF89" s="39">
        <v>12</v>
      </c>
      <c r="DG89" s="43">
        <v>42482</v>
      </c>
      <c r="DH89" s="39">
        <v>18</v>
      </c>
      <c r="DI89" s="39">
        <v>3.7</v>
      </c>
      <c r="DJ89" s="39">
        <v>2.1</v>
      </c>
      <c r="DK89" s="80">
        <v>223</v>
      </c>
      <c r="DL89" s="39">
        <v>3</v>
      </c>
      <c r="DM89" s="39">
        <v>18</v>
      </c>
      <c r="DO89" s="39">
        <v>8</v>
      </c>
      <c r="DP89" s="39">
        <v>223</v>
      </c>
      <c r="DR89" s="39">
        <v>91</v>
      </c>
      <c r="DS89" s="39">
        <v>6</v>
      </c>
      <c r="DW89" s="43">
        <v>42351</v>
      </c>
      <c r="DX89" s="39">
        <v>13</v>
      </c>
      <c r="DY89" s="39">
        <v>10.6</v>
      </c>
      <c r="DZ89">
        <v>0</v>
      </c>
      <c r="EA89" s="39">
        <v>13</v>
      </c>
      <c r="EB89">
        <v>0</v>
      </c>
      <c r="EC89" s="39">
        <v>1.2</v>
      </c>
      <c r="ED89" s="39">
        <v>0.94</v>
      </c>
      <c r="EE89">
        <v>0</v>
      </c>
      <c r="EF89" s="39">
        <v>2.5</v>
      </c>
      <c r="EG89">
        <v>1</v>
      </c>
      <c r="EH89" s="39">
        <v>193</v>
      </c>
      <c r="EI89" s="62">
        <v>0.81347150259067402</v>
      </c>
      <c r="EJ89" s="39">
        <v>157</v>
      </c>
      <c r="EK89">
        <v>0</v>
      </c>
      <c r="EL89">
        <f t="shared" si="36"/>
        <v>-36</v>
      </c>
      <c r="EM89" s="39">
        <v>193</v>
      </c>
      <c r="EN89">
        <v>0</v>
      </c>
      <c r="ER89" s="39">
        <v>23</v>
      </c>
      <c r="ET89" s="39">
        <v>24</v>
      </c>
      <c r="EU89" s="39">
        <v>21</v>
      </c>
      <c r="EV89" s="39">
        <v>37</v>
      </c>
      <c r="EW89" s="39">
        <v>99</v>
      </c>
      <c r="EX89" s="39">
        <v>10</v>
      </c>
      <c r="EY89" s="39">
        <v>3</v>
      </c>
      <c r="FC89" s="39">
        <v>1</v>
      </c>
      <c r="FD89" s="39">
        <v>0</v>
      </c>
      <c r="FF89" s="39">
        <v>1</v>
      </c>
      <c r="FG89">
        <v>0</v>
      </c>
      <c r="FK89">
        <v>0</v>
      </c>
      <c r="FL89">
        <v>0</v>
      </c>
      <c r="FM89"/>
      <c r="FN89"/>
      <c r="FO89">
        <v>0</v>
      </c>
      <c r="FQ89" s="44">
        <v>42350</v>
      </c>
      <c r="FR89" s="44" t="s">
        <v>230</v>
      </c>
      <c r="FS89" s="45">
        <v>1</v>
      </c>
      <c r="FT89" s="45">
        <v>0</v>
      </c>
      <c r="FU89" s="45">
        <v>1</v>
      </c>
      <c r="FV89" s="45">
        <v>0</v>
      </c>
      <c r="FW89" s="45">
        <v>1</v>
      </c>
      <c r="FX89" s="45">
        <v>1</v>
      </c>
      <c r="FY89" s="45">
        <v>1</v>
      </c>
      <c r="FZ89" s="45">
        <v>0</v>
      </c>
      <c r="GA89" s="45">
        <v>0</v>
      </c>
      <c r="GB89" s="45">
        <v>1</v>
      </c>
      <c r="GC89" s="45">
        <v>1</v>
      </c>
      <c r="GD89" s="45">
        <v>1</v>
      </c>
      <c r="GE89" s="45">
        <v>1</v>
      </c>
      <c r="GF89" s="45">
        <v>1</v>
      </c>
      <c r="GG89" s="45">
        <v>1</v>
      </c>
      <c r="GH89" s="45">
        <v>1</v>
      </c>
      <c r="GI89" s="45">
        <v>1</v>
      </c>
      <c r="GJ89" s="45">
        <v>0</v>
      </c>
      <c r="GK89" s="45">
        <v>0</v>
      </c>
      <c r="GL89" s="45">
        <v>0</v>
      </c>
      <c r="GM89" s="45">
        <v>1</v>
      </c>
      <c r="GN89" s="45">
        <v>0</v>
      </c>
      <c r="GO89" s="45">
        <v>1</v>
      </c>
      <c r="GP89" s="45">
        <v>1</v>
      </c>
      <c r="GQ89" s="45">
        <v>1</v>
      </c>
      <c r="GR89" s="45">
        <v>1</v>
      </c>
      <c r="GS89" s="45">
        <v>1</v>
      </c>
      <c r="GT89" s="45">
        <v>1</v>
      </c>
      <c r="GU89" s="45">
        <v>1</v>
      </c>
      <c r="GV89" s="45">
        <v>0</v>
      </c>
      <c r="GW89" s="45">
        <v>0</v>
      </c>
      <c r="GX89" s="45">
        <v>0</v>
      </c>
      <c r="GY89" s="15">
        <v>0</v>
      </c>
      <c r="GZ89" s="15">
        <v>0</v>
      </c>
      <c r="HA89" s="45">
        <v>0</v>
      </c>
      <c r="HB89" s="45">
        <v>0</v>
      </c>
      <c r="HC89" s="45">
        <v>1</v>
      </c>
      <c r="HD89" s="45" t="s">
        <v>232</v>
      </c>
      <c r="HE89" s="15">
        <v>0</v>
      </c>
      <c r="HF89" s="15">
        <v>0</v>
      </c>
      <c r="HG89" s="45">
        <v>0</v>
      </c>
      <c r="HH89" s="45">
        <v>1</v>
      </c>
      <c r="HI89" s="45">
        <v>1</v>
      </c>
      <c r="HJ89" s="45">
        <v>1</v>
      </c>
      <c r="HK89" s="45">
        <v>1</v>
      </c>
      <c r="HL89" s="45">
        <v>1</v>
      </c>
      <c r="HM89" s="45">
        <v>0</v>
      </c>
      <c r="HN89" s="45">
        <v>0</v>
      </c>
      <c r="HO89" s="45">
        <v>1</v>
      </c>
      <c r="HP89" s="45">
        <v>0</v>
      </c>
      <c r="HQ89" s="45">
        <v>0</v>
      </c>
      <c r="HR89" s="45">
        <v>0</v>
      </c>
      <c r="HS89" s="45">
        <v>0</v>
      </c>
      <c r="HT89" s="45">
        <v>1</v>
      </c>
      <c r="HU89" s="45">
        <v>1</v>
      </c>
      <c r="HV89" s="45">
        <v>0</v>
      </c>
      <c r="HW89" s="45">
        <v>0</v>
      </c>
      <c r="HX89" s="45">
        <v>0</v>
      </c>
      <c r="HY89" s="44">
        <v>42398</v>
      </c>
      <c r="HZ89" s="45" t="s">
        <v>230</v>
      </c>
      <c r="IA89" s="45">
        <v>1</v>
      </c>
      <c r="IB89" s="45">
        <v>1</v>
      </c>
      <c r="IC89" s="45">
        <v>1</v>
      </c>
      <c r="ID89" s="45">
        <v>0</v>
      </c>
      <c r="IE89" s="45">
        <v>1</v>
      </c>
      <c r="IF89" s="45">
        <v>0</v>
      </c>
      <c r="IG89" s="45">
        <v>0</v>
      </c>
      <c r="IH89" s="45">
        <v>0</v>
      </c>
      <c r="II89" s="45">
        <v>0</v>
      </c>
      <c r="IJ89" s="45">
        <v>0</v>
      </c>
      <c r="IK89" s="45">
        <v>0</v>
      </c>
      <c r="IL89" s="45">
        <v>0</v>
      </c>
      <c r="IM89" s="45">
        <v>0</v>
      </c>
      <c r="IN89" s="45">
        <v>0</v>
      </c>
      <c r="IO89" s="45">
        <v>0</v>
      </c>
      <c r="IP89" s="45">
        <v>0</v>
      </c>
      <c r="IQ89" s="45">
        <v>1</v>
      </c>
      <c r="IR89" s="45">
        <v>0</v>
      </c>
      <c r="IS89" s="45">
        <v>0</v>
      </c>
      <c r="IT89" s="45">
        <v>0</v>
      </c>
      <c r="IU89" s="45">
        <v>1</v>
      </c>
      <c r="IV89" s="45">
        <v>0</v>
      </c>
      <c r="IW89" s="45">
        <v>1</v>
      </c>
      <c r="IX89" s="45">
        <v>1</v>
      </c>
      <c r="IY89" s="45">
        <v>0</v>
      </c>
      <c r="IZ89" s="45">
        <v>1</v>
      </c>
      <c r="JA89" s="45">
        <v>1</v>
      </c>
      <c r="JB89" s="45">
        <v>1</v>
      </c>
      <c r="JC89" s="45">
        <v>1</v>
      </c>
      <c r="JD89" s="45">
        <v>0</v>
      </c>
      <c r="JE89" s="45">
        <v>0</v>
      </c>
      <c r="JF89" s="45">
        <v>0</v>
      </c>
      <c r="JG89" s="15">
        <v>0</v>
      </c>
      <c r="JH89" s="15">
        <v>0</v>
      </c>
      <c r="JI89" s="45">
        <v>0</v>
      </c>
      <c r="JJ89" s="45">
        <v>0</v>
      </c>
      <c r="JK89" s="45">
        <v>1</v>
      </c>
      <c r="JL89" s="45" t="s">
        <v>232</v>
      </c>
      <c r="JM89" s="15">
        <v>0</v>
      </c>
      <c r="JN89" s="15">
        <v>0</v>
      </c>
      <c r="JO89" s="45">
        <v>0</v>
      </c>
      <c r="JP89" s="45">
        <v>0</v>
      </c>
      <c r="JQ89" s="45">
        <v>0</v>
      </c>
      <c r="JR89" s="45">
        <v>0</v>
      </c>
      <c r="JS89" s="45">
        <v>0</v>
      </c>
      <c r="JT89" s="45">
        <v>0</v>
      </c>
      <c r="JU89" s="45">
        <v>0</v>
      </c>
      <c r="JV89" s="45">
        <v>0</v>
      </c>
      <c r="JW89" s="45">
        <v>1</v>
      </c>
      <c r="JX89" s="45">
        <v>0</v>
      </c>
      <c r="JY89" s="45">
        <v>0</v>
      </c>
      <c r="JZ89" s="45">
        <v>0</v>
      </c>
      <c r="KA89" s="45">
        <v>0</v>
      </c>
      <c r="KB89" s="45">
        <v>0</v>
      </c>
      <c r="KC89" s="45">
        <v>0</v>
      </c>
      <c r="KD89" s="45">
        <v>0</v>
      </c>
      <c r="KE89" s="45">
        <v>0</v>
      </c>
      <c r="KF89" s="45">
        <v>0</v>
      </c>
      <c r="KG89"/>
      <c r="KH89"/>
      <c r="KI89">
        <v>1</v>
      </c>
      <c r="KJ89">
        <v>1</v>
      </c>
      <c r="KK89">
        <v>1</v>
      </c>
      <c r="KL89">
        <v>0</v>
      </c>
      <c r="KM89">
        <v>1</v>
      </c>
      <c r="KN89">
        <v>1</v>
      </c>
      <c r="KO89">
        <v>1</v>
      </c>
      <c r="KP89">
        <v>0</v>
      </c>
      <c r="KQ89">
        <v>0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0</v>
      </c>
      <c r="LA89">
        <v>0</v>
      </c>
      <c r="LB89">
        <v>0</v>
      </c>
      <c r="LC89">
        <v>1</v>
      </c>
      <c r="LD89">
        <v>0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1</v>
      </c>
      <c r="LT89"/>
      <c r="LU89">
        <v>0</v>
      </c>
      <c r="LV89">
        <v>0</v>
      </c>
      <c r="LW89">
        <v>0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0</v>
      </c>
      <c r="MD89">
        <v>0</v>
      </c>
      <c r="ME89">
        <v>1</v>
      </c>
      <c r="MF89">
        <v>0</v>
      </c>
      <c r="MG89">
        <v>0</v>
      </c>
      <c r="MH89">
        <v>0</v>
      </c>
      <c r="MI89">
        <v>0</v>
      </c>
      <c r="MJ89">
        <v>1</v>
      </c>
      <c r="MK89">
        <v>1</v>
      </c>
      <c r="ML89">
        <v>0</v>
      </c>
      <c r="MM89">
        <v>0</v>
      </c>
      <c r="MN89">
        <v>0</v>
      </c>
      <c r="MO89">
        <v>1</v>
      </c>
      <c r="MP89">
        <v>0</v>
      </c>
      <c r="MQ89">
        <v>1</v>
      </c>
      <c r="MR89">
        <v>1</v>
      </c>
      <c r="MS89">
        <v>0</v>
      </c>
      <c r="MT89">
        <v>0</v>
      </c>
    </row>
    <row r="90" spans="1:358" s="39" customFormat="1" ht="18" x14ac:dyDescent="0.25">
      <c r="A90" t="s">
        <v>482</v>
      </c>
      <c r="B90" s="40">
        <v>48</v>
      </c>
      <c r="C90" s="40">
        <v>1</v>
      </c>
      <c r="D90" s="40">
        <v>0</v>
      </c>
      <c r="E90" s="40"/>
      <c r="F90" s="55">
        <v>574</v>
      </c>
      <c r="G90" s="55"/>
      <c r="H90" s="57">
        <v>0</v>
      </c>
      <c r="I90" s="57">
        <v>0</v>
      </c>
      <c r="J90" s="57"/>
      <c r="K90" s="40"/>
      <c r="L90" s="40"/>
      <c r="M90" s="40"/>
      <c r="N90" s="40">
        <v>0</v>
      </c>
      <c r="O90" s="42">
        <v>43053</v>
      </c>
      <c r="P90" s="64">
        <f t="shared" si="32"/>
        <v>574</v>
      </c>
      <c r="Q90" s="39">
        <v>1</v>
      </c>
      <c r="R90" s="39">
        <v>1</v>
      </c>
      <c r="S90" s="39">
        <v>0</v>
      </c>
      <c r="T90" s="39">
        <v>13</v>
      </c>
      <c r="U90" s="39">
        <v>0</v>
      </c>
      <c r="V90" s="39">
        <v>1</v>
      </c>
      <c r="W90" s="39">
        <v>1</v>
      </c>
      <c r="X90" s="39">
        <v>0</v>
      </c>
      <c r="Y90" s="39">
        <v>1</v>
      </c>
      <c r="Z90" s="39">
        <v>0</v>
      </c>
      <c r="AA90" s="39">
        <v>0</v>
      </c>
      <c r="AB90" s="39">
        <v>0</v>
      </c>
      <c r="AC90" s="39">
        <v>0</v>
      </c>
      <c r="AD90" s="39">
        <v>0</v>
      </c>
      <c r="AE90" s="39">
        <v>0</v>
      </c>
      <c r="AF90" s="39">
        <v>0</v>
      </c>
      <c r="AG90" s="39">
        <v>0</v>
      </c>
      <c r="AH90" s="39">
        <v>0</v>
      </c>
      <c r="AI90" s="39">
        <v>0</v>
      </c>
      <c r="AJ90" s="39">
        <v>0</v>
      </c>
      <c r="AK90" s="39">
        <v>0</v>
      </c>
      <c r="AL90" s="39">
        <v>0</v>
      </c>
      <c r="AM90" s="39">
        <v>0</v>
      </c>
      <c r="AN90" s="39">
        <v>80</v>
      </c>
      <c r="AO90" s="39">
        <v>164</v>
      </c>
      <c r="AP90" s="39">
        <v>29.7</v>
      </c>
      <c r="AQ90" s="39">
        <v>36.1</v>
      </c>
      <c r="AR90" s="39">
        <v>131</v>
      </c>
      <c r="AS90" s="39">
        <v>77</v>
      </c>
      <c r="AT90" s="39">
        <v>2</v>
      </c>
      <c r="AU90">
        <v>0</v>
      </c>
      <c r="AW90" s="43">
        <v>42479</v>
      </c>
      <c r="AX90" s="43">
        <v>42479</v>
      </c>
      <c r="AY90" s="39">
        <v>1</v>
      </c>
      <c r="AZ90" s="43">
        <v>42472</v>
      </c>
      <c r="BA90" s="39">
        <v>1</v>
      </c>
      <c r="BB90" s="39">
        <v>0</v>
      </c>
      <c r="BC90" s="39">
        <v>0</v>
      </c>
      <c r="BD90" s="39">
        <v>1</v>
      </c>
      <c r="BE90" s="39">
        <v>0</v>
      </c>
      <c r="BF90" s="39">
        <v>0</v>
      </c>
      <c r="BG90" s="39">
        <v>0</v>
      </c>
      <c r="BH90" s="39">
        <v>0</v>
      </c>
      <c r="BI90" s="39">
        <v>0</v>
      </c>
      <c r="BJ90" s="78">
        <v>0</v>
      </c>
      <c r="BK90" s="78">
        <v>0</v>
      </c>
      <c r="BL90" s="78">
        <v>0</v>
      </c>
      <c r="BM90" s="66">
        <v>1</v>
      </c>
      <c r="BN90" s="78">
        <v>0</v>
      </c>
      <c r="BO90" s="78">
        <v>0</v>
      </c>
      <c r="BP90" s="78">
        <v>1</v>
      </c>
      <c r="BQ90">
        <v>0</v>
      </c>
      <c r="BR90" s="78">
        <v>0</v>
      </c>
      <c r="BS90" s="78">
        <v>0</v>
      </c>
      <c r="BT90" s="78">
        <v>0</v>
      </c>
      <c r="BU90" s="78">
        <v>2</v>
      </c>
      <c r="BV90" s="78">
        <v>0</v>
      </c>
      <c r="BW90" s="78">
        <v>0</v>
      </c>
      <c r="BX90" s="66">
        <f t="shared" si="33"/>
        <v>2</v>
      </c>
      <c r="BY90" s="78">
        <v>1</v>
      </c>
      <c r="BZ90">
        <v>1</v>
      </c>
      <c r="CA90" s="39">
        <v>0</v>
      </c>
      <c r="CD90" s="39">
        <v>0</v>
      </c>
      <c r="CE90" s="39">
        <v>0</v>
      </c>
      <c r="CF90" s="39">
        <v>0</v>
      </c>
      <c r="CG90" s="39">
        <v>0</v>
      </c>
      <c r="CH90" s="39">
        <v>0</v>
      </c>
      <c r="CI90" s="39">
        <v>0</v>
      </c>
      <c r="CJ90" s="39">
        <v>0</v>
      </c>
      <c r="CK90" s="39">
        <v>0</v>
      </c>
      <c r="CL90" s="39">
        <v>1</v>
      </c>
      <c r="CM90" s="39">
        <v>0</v>
      </c>
      <c r="CN90" s="39">
        <v>0</v>
      </c>
      <c r="CO90">
        <f>CN90+CK90+CJ90+CI90+CH90+CG90+CF90+CE90</f>
        <v>0</v>
      </c>
      <c r="CP90" s="39">
        <v>0</v>
      </c>
      <c r="CQ90" s="39">
        <v>0</v>
      </c>
      <c r="CR90" s="39">
        <v>0</v>
      </c>
      <c r="CS90" s="39">
        <v>0</v>
      </c>
      <c r="CT90" s="39">
        <v>0</v>
      </c>
      <c r="CW90" s="31"/>
      <c r="CX90" s="39">
        <v>1</v>
      </c>
      <c r="CY90">
        <v>0</v>
      </c>
      <c r="DA90" s="43">
        <v>42479</v>
      </c>
      <c r="DB90" s="66">
        <f t="shared" si="35"/>
        <v>7</v>
      </c>
      <c r="DC90" s="39" t="s">
        <v>1</v>
      </c>
      <c r="DD90" s="39">
        <v>0</v>
      </c>
      <c r="DE90" s="43">
        <v>42489</v>
      </c>
      <c r="DF90" s="39">
        <v>11</v>
      </c>
      <c r="DG90" s="43">
        <v>42479</v>
      </c>
      <c r="DH90" s="39">
        <v>12</v>
      </c>
      <c r="DI90" s="39">
        <v>8.6</v>
      </c>
      <c r="DJ90" s="39">
        <v>1.1000000000000001</v>
      </c>
      <c r="DK90" s="80">
        <v>115</v>
      </c>
      <c r="DL90" s="39">
        <v>2</v>
      </c>
      <c r="DM90" s="39">
        <v>68</v>
      </c>
      <c r="DO90" s="39">
        <v>2</v>
      </c>
      <c r="DP90" s="39">
        <v>115</v>
      </c>
      <c r="DR90" s="39">
        <v>60</v>
      </c>
      <c r="DS90" s="39">
        <v>2.7</v>
      </c>
      <c r="DU90" s="39">
        <v>60</v>
      </c>
      <c r="DW90" s="43">
        <v>42479</v>
      </c>
      <c r="DX90" s="39">
        <v>9</v>
      </c>
      <c r="DY90" s="39">
        <v>11.7</v>
      </c>
      <c r="DZ90">
        <v>0</v>
      </c>
      <c r="EA90" s="39">
        <v>11.7</v>
      </c>
      <c r="EB90">
        <v>0</v>
      </c>
      <c r="EC90" s="39">
        <v>2.6</v>
      </c>
      <c r="ED90" s="39">
        <v>0.94</v>
      </c>
      <c r="EE90">
        <v>0</v>
      </c>
      <c r="EF90" s="39">
        <v>2.6</v>
      </c>
      <c r="EG90">
        <v>1</v>
      </c>
      <c r="EH90" s="39">
        <v>60</v>
      </c>
      <c r="EI90" s="62">
        <v>2.4166666666666701</v>
      </c>
      <c r="EJ90" s="39">
        <v>145</v>
      </c>
      <c r="EK90">
        <v>0</v>
      </c>
      <c r="EL90">
        <f t="shared" si="36"/>
        <v>85</v>
      </c>
      <c r="EM90" s="39">
        <v>145</v>
      </c>
      <c r="EN90">
        <v>0</v>
      </c>
      <c r="ER90" s="39">
        <v>28</v>
      </c>
      <c r="ET90" s="39">
        <v>16</v>
      </c>
      <c r="EU90" s="39">
        <v>33</v>
      </c>
      <c r="EV90" s="39">
        <v>8</v>
      </c>
      <c r="EW90" s="39">
        <v>58</v>
      </c>
      <c r="EX90" s="39">
        <v>9</v>
      </c>
      <c r="EY90" s="39">
        <v>4</v>
      </c>
      <c r="FC90" s="39">
        <v>1</v>
      </c>
      <c r="FD90" s="39">
        <v>0</v>
      </c>
      <c r="FF90" s="39">
        <v>1</v>
      </c>
      <c r="FG90">
        <v>0</v>
      </c>
      <c r="FK90">
        <v>0</v>
      </c>
      <c r="FL90">
        <v>0</v>
      </c>
      <c r="FM90"/>
      <c r="FN90"/>
      <c r="FO90">
        <v>0</v>
      </c>
      <c r="FQ90" s="44">
        <v>42479</v>
      </c>
      <c r="FR90" s="44" t="s">
        <v>230</v>
      </c>
      <c r="FS90" s="45">
        <v>0</v>
      </c>
      <c r="FT90" s="45">
        <v>0</v>
      </c>
      <c r="FU90" s="45">
        <v>1</v>
      </c>
      <c r="FV90" s="45">
        <v>0</v>
      </c>
      <c r="FW90" s="45">
        <v>1</v>
      </c>
      <c r="FX90" s="45">
        <v>0</v>
      </c>
      <c r="FY90" s="45">
        <v>0</v>
      </c>
      <c r="FZ90" s="45">
        <v>0</v>
      </c>
      <c r="GA90" s="45">
        <v>0</v>
      </c>
      <c r="GB90" s="45">
        <v>1</v>
      </c>
      <c r="GC90" s="45">
        <v>1</v>
      </c>
      <c r="GD90" s="45">
        <v>1</v>
      </c>
      <c r="GE90" s="45">
        <v>1</v>
      </c>
      <c r="GF90" s="45">
        <v>1</v>
      </c>
      <c r="GG90" s="45">
        <v>1</v>
      </c>
      <c r="GH90" s="45">
        <v>1</v>
      </c>
      <c r="GI90" s="45">
        <v>0</v>
      </c>
      <c r="GJ90" s="45">
        <v>0</v>
      </c>
      <c r="GK90" s="45">
        <v>1</v>
      </c>
      <c r="GL90" s="45">
        <v>0</v>
      </c>
      <c r="GM90" s="45">
        <v>0</v>
      </c>
      <c r="GN90" s="45">
        <v>1</v>
      </c>
      <c r="GO90" s="45">
        <v>1</v>
      </c>
      <c r="GP90" s="45">
        <v>0</v>
      </c>
      <c r="GQ90" s="45">
        <v>1</v>
      </c>
      <c r="GR90" s="45">
        <v>1</v>
      </c>
      <c r="GS90" s="45">
        <v>1</v>
      </c>
      <c r="GT90" s="45">
        <v>1</v>
      </c>
      <c r="GU90" s="45">
        <v>1</v>
      </c>
      <c r="GV90" s="45">
        <v>0</v>
      </c>
      <c r="GW90" s="45">
        <v>0</v>
      </c>
      <c r="GX90" s="45">
        <v>0</v>
      </c>
      <c r="GY90" s="15">
        <v>0</v>
      </c>
      <c r="GZ90" s="15">
        <v>0</v>
      </c>
      <c r="HA90" s="45">
        <v>0</v>
      </c>
      <c r="HB90" s="45">
        <v>1</v>
      </c>
      <c r="HC90" s="45">
        <v>0</v>
      </c>
      <c r="HD90" s="45">
        <v>0</v>
      </c>
      <c r="HE90" s="15">
        <v>0</v>
      </c>
      <c r="HF90" s="15">
        <v>0</v>
      </c>
      <c r="HG90" s="45">
        <v>0</v>
      </c>
      <c r="HH90" s="45">
        <v>1</v>
      </c>
      <c r="HI90" s="45">
        <v>1</v>
      </c>
      <c r="HJ90" s="45">
        <v>1</v>
      </c>
      <c r="HK90" s="45">
        <v>0</v>
      </c>
      <c r="HL90" s="45">
        <v>1</v>
      </c>
      <c r="HM90" s="45"/>
      <c r="HN90" s="45">
        <v>1</v>
      </c>
      <c r="HO90" s="45">
        <v>1</v>
      </c>
      <c r="HP90" s="45">
        <v>0</v>
      </c>
      <c r="HQ90" s="45">
        <v>0</v>
      </c>
      <c r="HR90" s="45">
        <v>0</v>
      </c>
      <c r="HS90" s="45">
        <v>0</v>
      </c>
      <c r="HT90" s="45">
        <v>1</v>
      </c>
      <c r="HU90" s="45">
        <v>1</v>
      </c>
      <c r="HV90" s="45">
        <v>0</v>
      </c>
      <c r="HW90" s="45">
        <v>0</v>
      </c>
      <c r="HX90" s="45">
        <v>0</v>
      </c>
      <c r="HY90" s="44">
        <v>42487</v>
      </c>
      <c r="HZ90" s="45" t="s">
        <v>231</v>
      </c>
      <c r="IA90" s="45">
        <v>1</v>
      </c>
      <c r="IB90" s="45">
        <v>1</v>
      </c>
      <c r="IC90" s="45">
        <v>1</v>
      </c>
      <c r="ID90" s="45">
        <v>0</v>
      </c>
      <c r="IE90" s="45">
        <v>1</v>
      </c>
      <c r="IF90" s="45">
        <v>0</v>
      </c>
      <c r="IG90" s="45">
        <v>0</v>
      </c>
      <c r="IH90" s="45">
        <v>0</v>
      </c>
      <c r="II90" s="45">
        <v>0</v>
      </c>
      <c r="IJ90" s="45">
        <v>1</v>
      </c>
      <c r="IK90" s="45">
        <v>1</v>
      </c>
      <c r="IL90" s="45">
        <v>1</v>
      </c>
      <c r="IM90" s="45">
        <v>1</v>
      </c>
      <c r="IN90" s="45">
        <v>1</v>
      </c>
      <c r="IO90" s="45">
        <v>1</v>
      </c>
      <c r="IP90" s="45">
        <v>1</v>
      </c>
      <c r="IQ90" s="45">
        <v>0</v>
      </c>
      <c r="IR90" s="45">
        <v>0</v>
      </c>
      <c r="IS90" s="45">
        <v>1</v>
      </c>
      <c r="IT90" s="45">
        <v>0</v>
      </c>
      <c r="IU90" s="45">
        <v>1</v>
      </c>
      <c r="IV90" s="45">
        <v>0</v>
      </c>
      <c r="IW90" s="45">
        <v>1</v>
      </c>
      <c r="IX90" s="45">
        <v>1</v>
      </c>
      <c r="IY90" s="45">
        <v>0</v>
      </c>
      <c r="IZ90" s="45">
        <v>1</v>
      </c>
      <c r="JA90" s="45">
        <v>1</v>
      </c>
      <c r="JB90" s="45">
        <v>1</v>
      </c>
      <c r="JC90" s="45">
        <v>1</v>
      </c>
      <c r="JD90" s="45">
        <v>0</v>
      </c>
      <c r="JE90" s="45">
        <v>0</v>
      </c>
      <c r="JF90" s="45">
        <v>0</v>
      </c>
      <c r="JG90" s="15">
        <v>0</v>
      </c>
      <c r="JH90" s="15">
        <v>0</v>
      </c>
      <c r="JI90" s="45">
        <v>0</v>
      </c>
      <c r="JJ90" s="45">
        <v>1</v>
      </c>
      <c r="JK90" s="45">
        <v>0</v>
      </c>
      <c r="JL90" s="45">
        <v>0</v>
      </c>
      <c r="JM90" s="15">
        <v>0</v>
      </c>
      <c r="JN90" s="15">
        <v>0</v>
      </c>
      <c r="JO90" s="45">
        <v>0</v>
      </c>
      <c r="JP90" s="45">
        <v>1</v>
      </c>
      <c r="JQ90" s="45">
        <v>1</v>
      </c>
      <c r="JR90" s="45">
        <v>0</v>
      </c>
      <c r="JS90" s="45">
        <v>0</v>
      </c>
      <c r="JT90" s="45">
        <v>0</v>
      </c>
      <c r="JU90" s="45">
        <v>0</v>
      </c>
      <c r="JV90" s="45">
        <v>1</v>
      </c>
      <c r="JW90" s="45">
        <v>1</v>
      </c>
      <c r="JX90" s="45">
        <v>0</v>
      </c>
      <c r="JY90" s="45">
        <v>0</v>
      </c>
      <c r="JZ90" s="45">
        <v>0</v>
      </c>
      <c r="KA90" s="45">
        <v>0</v>
      </c>
      <c r="KB90" s="45">
        <v>0</v>
      </c>
      <c r="KC90" s="45">
        <v>1</v>
      </c>
      <c r="KD90" s="45">
        <v>0</v>
      </c>
      <c r="KE90" s="45">
        <v>0</v>
      </c>
      <c r="KF90" s="45">
        <v>0</v>
      </c>
      <c r="KG90"/>
      <c r="KH90"/>
      <c r="KI90">
        <v>1</v>
      </c>
      <c r="KJ90">
        <v>1</v>
      </c>
      <c r="KK90">
        <v>1</v>
      </c>
      <c r="KL90">
        <v>0</v>
      </c>
      <c r="KM90">
        <v>1</v>
      </c>
      <c r="KN90">
        <v>0</v>
      </c>
      <c r="KO90">
        <v>0</v>
      </c>
      <c r="KP90">
        <v>0</v>
      </c>
      <c r="KQ90">
        <v>0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0</v>
      </c>
      <c r="KZ90">
        <v>0</v>
      </c>
      <c r="LA90">
        <v>1</v>
      </c>
      <c r="LB90">
        <v>0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1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1</v>
      </c>
      <c r="LY90">
        <v>1</v>
      </c>
      <c r="LZ90">
        <v>1</v>
      </c>
      <c r="MA90">
        <v>0</v>
      </c>
      <c r="MB90">
        <v>1</v>
      </c>
      <c r="MC90">
        <v>0</v>
      </c>
      <c r="MD90">
        <v>1</v>
      </c>
      <c r="ME90">
        <v>1</v>
      </c>
      <c r="MF90">
        <v>0</v>
      </c>
      <c r="MG90">
        <v>0</v>
      </c>
      <c r="MH90">
        <v>0</v>
      </c>
      <c r="MI90">
        <v>0</v>
      </c>
      <c r="MJ90">
        <v>1</v>
      </c>
      <c r="MK90">
        <v>1</v>
      </c>
      <c r="ML90">
        <v>0</v>
      </c>
      <c r="MM90">
        <v>0</v>
      </c>
      <c r="MN90">
        <v>0</v>
      </c>
      <c r="MO90">
        <v>1</v>
      </c>
      <c r="MP90">
        <v>0</v>
      </c>
      <c r="MQ90">
        <v>1</v>
      </c>
      <c r="MR90">
        <v>1</v>
      </c>
      <c r="MS90">
        <v>0</v>
      </c>
      <c r="MT90">
        <v>1</v>
      </c>
    </row>
    <row r="91" spans="1:358" s="39" customFormat="1" ht="18" x14ac:dyDescent="0.25">
      <c r="A91" t="s">
        <v>483</v>
      </c>
      <c r="B91" s="40">
        <v>48</v>
      </c>
      <c r="C91" s="40">
        <v>1</v>
      </c>
      <c r="D91" s="40">
        <v>1</v>
      </c>
      <c r="E91" s="41">
        <v>43572</v>
      </c>
      <c r="F91" s="61">
        <v>1</v>
      </c>
      <c r="G91" s="61"/>
      <c r="H91" s="58">
        <v>1</v>
      </c>
      <c r="I91" s="57">
        <v>1</v>
      </c>
      <c r="J91" s="58">
        <v>1</v>
      </c>
      <c r="K91" s="42">
        <v>43572</v>
      </c>
      <c r="L91" s="65">
        <v>1</v>
      </c>
      <c r="M91" s="42">
        <v>43630</v>
      </c>
      <c r="N91" s="40">
        <v>0</v>
      </c>
      <c r="O91" s="42">
        <v>45083</v>
      </c>
      <c r="P91" s="64">
        <f t="shared" si="32"/>
        <v>1512</v>
      </c>
      <c r="Q91" s="39">
        <v>1</v>
      </c>
      <c r="R91" s="39">
        <v>1</v>
      </c>
      <c r="S91" s="39">
        <v>0</v>
      </c>
      <c r="T91" s="39">
        <v>91</v>
      </c>
      <c r="U91" s="39">
        <v>0</v>
      </c>
      <c r="V91" s="39">
        <v>1</v>
      </c>
      <c r="W91" s="39">
        <v>0</v>
      </c>
      <c r="X91" s="39">
        <v>0</v>
      </c>
      <c r="Y91" s="39">
        <v>1</v>
      </c>
      <c r="Z91" s="39">
        <v>0</v>
      </c>
      <c r="AA91" s="39">
        <v>0</v>
      </c>
      <c r="AB91" s="39">
        <v>0</v>
      </c>
      <c r="AC91" s="39">
        <v>0</v>
      </c>
      <c r="AD91" s="39">
        <v>0</v>
      </c>
      <c r="AE91" s="39">
        <v>0</v>
      </c>
      <c r="AF91" s="39">
        <v>0</v>
      </c>
      <c r="AG91" s="39">
        <v>0</v>
      </c>
      <c r="AH91" s="39">
        <v>0</v>
      </c>
      <c r="AI91" s="39">
        <v>0</v>
      </c>
      <c r="AJ91" s="39">
        <v>0</v>
      </c>
      <c r="AK91" s="39">
        <v>0</v>
      </c>
      <c r="AL91" s="39">
        <v>0</v>
      </c>
      <c r="AM91" s="39">
        <v>0</v>
      </c>
      <c r="AN91" s="39">
        <v>81</v>
      </c>
      <c r="AO91" s="39">
        <v>154</v>
      </c>
      <c r="AP91" s="39">
        <v>34.200000000000003</v>
      </c>
      <c r="AQ91" s="39">
        <v>37.6</v>
      </c>
      <c r="AR91" s="39">
        <v>160</v>
      </c>
      <c r="AS91" s="39">
        <v>90</v>
      </c>
      <c r="AT91" s="39">
        <v>3</v>
      </c>
      <c r="AU91">
        <v>1</v>
      </c>
      <c r="AV91" s="39">
        <v>102</v>
      </c>
      <c r="AW91" s="43">
        <v>43571</v>
      </c>
      <c r="AX91" s="43">
        <v>43571</v>
      </c>
      <c r="AY91" s="39">
        <v>0</v>
      </c>
      <c r="AZ91" s="43">
        <v>43568</v>
      </c>
      <c r="BA91" s="39">
        <v>1</v>
      </c>
      <c r="BB91" s="39">
        <v>1</v>
      </c>
      <c r="BC91" s="39">
        <v>0</v>
      </c>
      <c r="BD91" s="39">
        <v>0</v>
      </c>
      <c r="BE91" s="39">
        <v>0</v>
      </c>
      <c r="BF91" s="39">
        <v>1</v>
      </c>
      <c r="BG91" s="39">
        <v>0</v>
      </c>
      <c r="BH91" s="39">
        <v>1</v>
      </c>
      <c r="BI91" s="39">
        <v>0</v>
      </c>
      <c r="BJ91">
        <v>0</v>
      </c>
      <c r="BK91">
        <v>0</v>
      </c>
      <c r="BL91">
        <v>0</v>
      </c>
      <c r="BM91" s="66">
        <v>0</v>
      </c>
      <c r="BN91">
        <v>0</v>
      </c>
      <c r="BO91">
        <v>0</v>
      </c>
      <c r="BP91" s="66">
        <f>BJ91+BK91+BL91+BM91+BN91+BO91</f>
        <v>0</v>
      </c>
      <c r="BQ91">
        <v>0</v>
      </c>
      <c r="BR91">
        <v>0</v>
      </c>
      <c r="BS91">
        <v>0</v>
      </c>
      <c r="BT91">
        <v>0</v>
      </c>
      <c r="BU91" s="66">
        <f>BM91</f>
        <v>0</v>
      </c>
      <c r="BV91">
        <v>0</v>
      </c>
      <c r="BW91">
        <v>0</v>
      </c>
      <c r="BX91" s="66">
        <f t="shared" si="33"/>
        <v>0</v>
      </c>
      <c r="BY91">
        <v>0</v>
      </c>
      <c r="BZ91">
        <f t="shared" si="34"/>
        <v>0</v>
      </c>
      <c r="CA91" s="39">
        <v>1</v>
      </c>
      <c r="CB91" s="39">
        <v>0</v>
      </c>
      <c r="CC91" s="39">
        <v>1</v>
      </c>
      <c r="CD91" s="39">
        <v>0</v>
      </c>
      <c r="CE91" s="39">
        <v>0</v>
      </c>
      <c r="CF91" s="39">
        <v>0</v>
      </c>
      <c r="CG91" s="39">
        <v>0</v>
      </c>
      <c r="CH91" s="39">
        <v>0</v>
      </c>
      <c r="CI91" s="39">
        <v>0</v>
      </c>
      <c r="CJ91" s="39">
        <v>0</v>
      </c>
      <c r="CK91" s="39">
        <v>0</v>
      </c>
      <c r="CL91" s="39">
        <v>0</v>
      </c>
      <c r="CM91" s="39">
        <v>0</v>
      </c>
      <c r="CN91" s="39">
        <v>0</v>
      </c>
      <c r="CO91">
        <f t="shared" si="39"/>
        <v>0</v>
      </c>
      <c r="CP91" s="39">
        <v>1</v>
      </c>
      <c r="CQ91" s="39">
        <v>0</v>
      </c>
      <c r="CR91" s="39">
        <v>0</v>
      </c>
      <c r="CS91" s="39">
        <v>0</v>
      </c>
      <c r="CT91" s="39">
        <v>0</v>
      </c>
      <c r="CU91" s="39">
        <v>0</v>
      </c>
      <c r="CV91" s="39">
        <v>1</v>
      </c>
      <c r="CW91" s="31"/>
      <c r="CY91">
        <v>0</v>
      </c>
      <c r="DA91" s="43">
        <v>43572</v>
      </c>
      <c r="DB91" s="66">
        <f t="shared" si="35"/>
        <v>4</v>
      </c>
      <c r="DC91" s="39" t="s">
        <v>1</v>
      </c>
      <c r="DD91" s="39">
        <v>0</v>
      </c>
      <c r="DE91" s="43">
        <v>43595</v>
      </c>
      <c r="DF91" s="39">
        <v>24</v>
      </c>
      <c r="DG91" s="43">
        <v>43572</v>
      </c>
      <c r="DH91" s="39">
        <v>12</v>
      </c>
      <c r="DI91" s="39">
        <v>10.1</v>
      </c>
      <c r="DJ91" s="39">
        <v>1.8</v>
      </c>
      <c r="DK91" s="80">
        <v>266</v>
      </c>
      <c r="DL91" s="39">
        <v>6</v>
      </c>
      <c r="DM91" s="39">
        <v>113</v>
      </c>
      <c r="DN91" s="39">
        <v>7790</v>
      </c>
      <c r="DO91" s="39">
        <v>2</v>
      </c>
      <c r="DP91" s="39">
        <v>309</v>
      </c>
      <c r="DQ91" s="39">
        <v>7790</v>
      </c>
      <c r="DR91" s="39">
        <v>62</v>
      </c>
      <c r="DS91" s="39">
        <v>2.2999999999999998</v>
      </c>
      <c r="DU91" s="39">
        <v>54</v>
      </c>
      <c r="DV91" s="39">
        <v>4</v>
      </c>
      <c r="DW91" s="43">
        <v>43571</v>
      </c>
      <c r="DX91" s="39">
        <v>12.6</v>
      </c>
      <c r="DY91">
        <f t="shared" ref="DY91:DY93" si="49">EA91</f>
        <v>14.5</v>
      </c>
      <c r="DZ91">
        <v>1</v>
      </c>
      <c r="EA91" s="39">
        <v>14.5</v>
      </c>
      <c r="EB91">
        <v>0</v>
      </c>
      <c r="EC91" s="39">
        <v>1.2</v>
      </c>
      <c r="ED91">
        <f t="shared" ref="ED91:ED93" si="50">EF91</f>
        <v>2.2999999999999998</v>
      </c>
      <c r="EE91">
        <v>1</v>
      </c>
      <c r="EF91" s="39">
        <v>2.2999999999999998</v>
      </c>
      <c r="EG91">
        <v>1</v>
      </c>
      <c r="EH91" s="39">
        <v>170</v>
      </c>
      <c r="EI91" s="62">
        <v>1.1470588235294099</v>
      </c>
      <c r="EJ91" s="39">
        <v>195</v>
      </c>
      <c r="EK91">
        <v>0</v>
      </c>
      <c r="EL91">
        <f t="shared" si="36"/>
        <v>25</v>
      </c>
      <c r="EM91" s="39">
        <v>195</v>
      </c>
      <c r="EN91">
        <v>0</v>
      </c>
      <c r="EO91" s="39">
        <v>0.09</v>
      </c>
      <c r="ER91" s="39">
        <v>17</v>
      </c>
      <c r="ES91" s="39">
        <v>36</v>
      </c>
      <c r="ET91" s="39">
        <v>26</v>
      </c>
      <c r="EU91" s="39">
        <v>23</v>
      </c>
      <c r="EV91" s="39">
        <v>33</v>
      </c>
      <c r="EW91" s="39">
        <v>68</v>
      </c>
      <c r="EX91" s="39">
        <v>6</v>
      </c>
      <c r="EY91" s="39">
        <v>3</v>
      </c>
      <c r="FA91" s="39">
        <v>7.3</v>
      </c>
      <c r="FB91">
        <v>0</v>
      </c>
      <c r="FC91" s="39">
        <v>1</v>
      </c>
      <c r="FD91" s="39">
        <v>0</v>
      </c>
      <c r="FF91" s="39">
        <v>1</v>
      </c>
      <c r="FG91">
        <v>1</v>
      </c>
      <c r="FH91" s="43">
        <v>43629</v>
      </c>
      <c r="FI91" s="43"/>
      <c r="FJ91" s="43"/>
      <c r="FK91" s="39">
        <v>0</v>
      </c>
      <c r="FL91">
        <v>0</v>
      </c>
      <c r="FM91"/>
      <c r="FN91"/>
      <c r="FO91">
        <v>0</v>
      </c>
      <c r="FQ91" s="44">
        <v>43571</v>
      </c>
      <c r="FR91" s="44" t="s">
        <v>230</v>
      </c>
      <c r="FS91" s="45">
        <v>1</v>
      </c>
      <c r="FT91" s="45">
        <v>0</v>
      </c>
      <c r="FU91" s="45">
        <v>1</v>
      </c>
      <c r="FV91" s="45">
        <v>0</v>
      </c>
      <c r="FW91" s="45">
        <v>1</v>
      </c>
      <c r="FX91" s="45">
        <v>1</v>
      </c>
      <c r="FY91" s="45">
        <v>1</v>
      </c>
      <c r="FZ91" s="45">
        <v>0</v>
      </c>
      <c r="GA91" s="45">
        <v>1</v>
      </c>
      <c r="GB91" s="45">
        <v>1</v>
      </c>
      <c r="GC91" s="45">
        <v>1</v>
      </c>
      <c r="GD91" s="45">
        <v>1</v>
      </c>
      <c r="GE91" s="45">
        <v>1</v>
      </c>
      <c r="GF91" s="45">
        <v>1</v>
      </c>
      <c r="GG91" s="45">
        <v>1</v>
      </c>
      <c r="GH91" s="45">
        <v>1</v>
      </c>
      <c r="GI91" s="45">
        <v>1</v>
      </c>
      <c r="GJ91" s="45">
        <v>0</v>
      </c>
      <c r="GK91" s="45">
        <v>0</v>
      </c>
      <c r="GL91" s="45">
        <v>0</v>
      </c>
      <c r="GM91" s="45">
        <v>1</v>
      </c>
      <c r="GN91" s="45">
        <v>0</v>
      </c>
      <c r="GO91" s="45">
        <v>1</v>
      </c>
      <c r="GP91" s="45">
        <v>1</v>
      </c>
      <c r="GQ91" s="45" t="s">
        <v>236</v>
      </c>
      <c r="GR91" s="45">
        <v>1</v>
      </c>
      <c r="GS91" s="45">
        <v>1</v>
      </c>
      <c r="GT91" s="45">
        <v>0</v>
      </c>
      <c r="GU91" s="45">
        <v>1</v>
      </c>
      <c r="GV91" s="45">
        <v>0</v>
      </c>
      <c r="GW91" s="45">
        <v>0</v>
      </c>
      <c r="GX91" s="45">
        <v>0</v>
      </c>
      <c r="GY91" s="15">
        <v>0</v>
      </c>
      <c r="GZ91" s="15">
        <v>0</v>
      </c>
      <c r="HA91" s="45">
        <v>0</v>
      </c>
      <c r="HB91" s="45">
        <v>1</v>
      </c>
      <c r="HC91" s="45">
        <v>0</v>
      </c>
      <c r="HD91" s="45">
        <v>0</v>
      </c>
      <c r="HE91" s="15">
        <v>0</v>
      </c>
      <c r="HF91" s="15">
        <v>0</v>
      </c>
      <c r="HG91" s="45">
        <v>0</v>
      </c>
      <c r="HH91" s="45">
        <v>0</v>
      </c>
      <c r="HI91" s="45">
        <v>1</v>
      </c>
      <c r="HJ91" s="45">
        <v>1</v>
      </c>
      <c r="HK91" s="45">
        <v>0</v>
      </c>
      <c r="HL91" s="45">
        <v>1</v>
      </c>
      <c r="HM91" s="45">
        <v>0</v>
      </c>
      <c r="HN91" s="45">
        <v>1</v>
      </c>
      <c r="HO91" s="45">
        <v>1</v>
      </c>
      <c r="HP91" s="45">
        <v>0</v>
      </c>
      <c r="HQ91" s="45">
        <v>0</v>
      </c>
      <c r="HR91" s="45">
        <v>0</v>
      </c>
      <c r="HS91" s="45">
        <v>0</v>
      </c>
      <c r="HT91" s="45">
        <v>1</v>
      </c>
      <c r="HU91" s="45">
        <v>1</v>
      </c>
      <c r="HV91" s="45">
        <v>0</v>
      </c>
      <c r="HW91" s="45">
        <v>0</v>
      </c>
      <c r="HX91" s="45">
        <v>0</v>
      </c>
      <c r="HY91" s="45"/>
      <c r="HZ91" s="45"/>
      <c r="IA91" s="45"/>
      <c r="IB91" s="45"/>
      <c r="IC91" s="45"/>
      <c r="ID91" s="45"/>
      <c r="IE91" s="45"/>
      <c r="IF91" s="45"/>
      <c r="IG91" s="45"/>
      <c r="IH91" s="45"/>
      <c r="II91" s="45"/>
      <c r="IJ91" s="45"/>
      <c r="IK91" s="45"/>
      <c r="IL91" s="45"/>
      <c r="IM91" s="45"/>
      <c r="IN91" s="45"/>
      <c r="IO91" s="45"/>
      <c r="IP91" s="45"/>
      <c r="IQ91" s="45"/>
      <c r="IR91" s="45"/>
      <c r="IS91" s="45"/>
      <c r="IT91" s="45"/>
      <c r="IU91" s="45"/>
      <c r="IV91" s="45"/>
      <c r="IW91" s="45"/>
      <c r="IX91" s="45"/>
      <c r="IY91" s="45"/>
      <c r="IZ91" s="45"/>
      <c r="JA91" s="45"/>
      <c r="JB91" s="45"/>
      <c r="JC91" s="45"/>
      <c r="JD91" s="45"/>
      <c r="JE91" s="45"/>
      <c r="JF91" s="45"/>
      <c r="JG91" s="45"/>
      <c r="JH91" s="45"/>
      <c r="JI91" s="45"/>
      <c r="JJ91" s="45"/>
      <c r="JK91" s="45"/>
      <c r="JL91" s="45"/>
      <c r="JM91" s="45"/>
      <c r="JN91" s="45"/>
      <c r="JO91" s="45"/>
      <c r="JP91" s="45"/>
      <c r="JQ91" s="45"/>
      <c r="JR91" s="45"/>
      <c r="JS91" s="45"/>
      <c r="JT91" s="45"/>
      <c r="JU91" s="45"/>
      <c r="JV91" s="45"/>
      <c r="JW91" s="45"/>
      <c r="JX91" s="45"/>
      <c r="JY91" s="45"/>
      <c r="JZ91" s="45"/>
      <c r="KA91" s="45"/>
      <c r="KB91" s="45"/>
      <c r="KC91" s="45"/>
      <c r="KD91" s="45"/>
      <c r="KE91" s="45"/>
      <c r="KF91" s="45"/>
      <c r="KG91"/>
      <c r="KH91"/>
      <c r="KI91">
        <v>1</v>
      </c>
      <c r="KJ91">
        <v>0</v>
      </c>
      <c r="KK91">
        <v>1</v>
      </c>
      <c r="KL91">
        <v>0</v>
      </c>
      <c r="KM91">
        <v>1</v>
      </c>
      <c r="KN91">
        <v>1</v>
      </c>
      <c r="KO91">
        <v>1</v>
      </c>
      <c r="KP91">
        <v>0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0</v>
      </c>
      <c r="LA91">
        <v>0</v>
      </c>
      <c r="LB91">
        <v>0</v>
      </c>
      <c r="LC91">
        <v>1</v>
      </c>
      <c r="LD91">
        <v>0</v>
      </c>
      <c r="LE91">
        <v>1</v>
      </c>
      <c r="LF91">
        <v>1</v>
      </c>
      <c r="LG91"/>
      <c r="LH91">
        <v>1</v>
      </c>
      <c r="LI91">
        <v>1</v>
      </c>
      <c r="LJ91">
        <v>0</v>
      </c>
      <c r="LK91">
        <v>1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1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1</v>
      </c>
      <c r="LZ91">
        <v>1</v>
      </c>
      <c r="MA91">
        <v>0</v>
      </c>
      <c r="MB91">
        <v>1</v>
      </c>
      <c r="MC91">
        <v>0</v>
      </c>
      <c r="MD91">
        <v>1</v>
      </c>
      <c r="ME91">
        <v>1</v>
      </c>
      <c r="MF91">
        <v>0</v>
      </c>
      <c r="MG91">
        <v>0</v>
      </c>
      <c r="MH91">
        <v>0</v>
      </c>
      <c r="MI91">
        <v>0</v>
      </c>
      <c r="MJ91">
        <v>1</v>
      </c>
      <c r="MK91">
        <v>1</v>
      </c>
      <c r="ML91">
        <v>0</v>
      </c>
      <c r="MM91">
        <v>0</v>
      </c>
      <c r="MN91">
        <v>0</v>
      </c>
      <c r="MO91">
        <v>1</v>
      </c>
      <c r="MP91">
        <v>0</v>
      </c>
      <c r="MQ91">
        <v>1</v>
      </c>
      <c r="MR91">
        <v>1</v>
      </c>
    </row>
    <row r="92" spans="1:358" s="39" customFormat="1" ht="18" x14ac:dyDescent="0.25">
      <c r="A92" t="s">
        <v>484</v>
      </c>
      <c r="B92" s="40">
        <v>36</v>
      </c>
      <c r="C92" s="40">
        <v>0</v>
      </c>
      <c r="D92" s="40">
        <v>1</v>
      </c>
      <c r="E92" s="41">
        <v>42447</v>
      </c>
      <c r="F92" s="61">
        <v>1</v>
      </c>
      <c r="G92" s="61"/>
      <c r="H92" s="58">
        <v>0</v>
      </c>
      <c r="I92" s="58"/>
      <c r="J92" s="58"/>
      <c r="K92" s="42">
        <v>42447</v>
      </c>
      <c r="L92" s="65">
        <v>1</v>
      </c>
      <c r="M92" s="42">
        <v>42492</v>
      </c>
      <c r="N92" s="40">
        <v>0</v>
      </c>
      <c r="O92" s="42">
        <v>44007</v>
      </c>
      <c r="P92" s="64">
        <f t="shared" si="32"/>
        <v>1561</v>
      </c>
      <c r="Q92" s="39">
        <v>1</v>
      </c>
      <c r="R92" s="39">
        <v>1</v>
      </c>
      <c r="S92" s="39">
        <v>0</v>
      </c>
      <c r="T92" s="39">
        <v>95</v>
      </c>
      <c r="U92" s="39">
        <v>1</v>
      </c>
      <c r="V92" s="39">
        <v>0</v>
      </c>
      <c r="W92" s="39">
        <v>0</v>
      </c>
      <c r="X92" s="39">
        <v>0</v>
      </c>
      <c r="Y92" s="39">
        <v>0</v>
      </c>
      <c r="Z92" s="39">
        <v>0</v>
      </c>
      <c r="AA92" s="39">
        <v>0</v>
      </c>
      <c r="AB92" s="39">
        <v>0</v>
      </c>
      <c r="AC92" s="39">
        <v>0</v>
      </c>
      <c r="AD92" s="39">
        <v>0</v>
      </c>
      <c r="AE92" s="39">
        <v>0</v>
      </c>
      <c r="AF92" s="39">
        <v>0</v>
      </c>
      <c r="AG92" s="39">
        <v>0</v>
      </c>
      <c r="AH92" s="39">
        <v>0</v>
      </c>
      <c r="AI92" s="39">
        <v>0</v>
      </c>
      <c r="AJ92" s="39">
        <v>0</v>
      </c>
      <c r="AK92" s="39">
        <v>0</v>
      </c>
      <c r="AL92" s="39">
        <v>0</v>
      </c>
      <c r="AM92" s="39">
        <v>0</v>
      </c>
      <c r="AN92" s="39">
        <v>103</v>
      </c>
      <c r="AO92" s="39">
        <v>195</v>
      </c>
      <c r="AP92" s="39">
        <v>27.1</v>
      </c>
      <c r="AQ92" s="39">
        <v>37.9</v>
      </c>
      <c r="AR92" s="39">
        <v>148</v>
      </c>
      <c r="AS92" s="39">
        <v>89</v>
      </c>
      <c r="AT92" s="39">
        <v>3</v>
      </c>
      <c r="AU92">
        <v>1</v>
      </c>
      <c r="AV92" s="39">
        <v>101</v>
      </c>
      <c r="AW92" s="43">
        <v>42446</v>
      </c>
      <c r="AX92" s="43">
        <v>42446</v>
      </c>
      <c r="AY92" s="39">
        <v>0</v>
      </c>
      <c r="AZ92" s="43">
        <v>42444</v>
      </c>
      <c r="BA92" s="39">
        <v>1</v>
      </c>
      <c r="BB92" s="39">
        <v>1</v>
      </c>
      <c r="BC92" s="39">
        <v>0</v>
      </c>
      <c r="BD92" s="39">
        <v>0</v>
      </c>
      <c r="BE92" s="39">
        <v>0</v>
      </c>
      <c r="BF92" s="39">
        <v>0</v>
      </c>
      <c r="BG92" s="39">
        <v>0</v>
      </c>
      <c r="BH92" s="39">
        <v>1</v>
      </c>
      <c r="BI92" s="39">
        <v>0</v>
      </c>
      <c r="BJ92" s="78">
        <v>0</v>
      </c>
      <c r="BK92" s="78">
        <v>1</v>
      </c>
      <c r="BL92" s="78">
        <v>0</v>
      </c>
      <c r="BM92" s="66">
        <v>0</v>
      </c>
      <c r="BN92" s="78">
        <v>0</v>
      </c>
      <c r="BO92" s="78">
        <v>0</v>
      </c>
      <c r="BP92" s="78">
        <v>1</v>
      </c>
      <c r="BQ92">
        <v>0</v>
      </c>
      <c r="BR92" s="78">
        <v>0</v>
      </c>
      <c r="BS92" s="78">
        <v>0</v>
      </c>
      <c r="BT92" s="78">
        <v>1</v>
      </c>
      <c r="BU92" s="78">
        <v>0</v>
      </c>
      <c r="BV92" s="78">
        <v>1</v>
      </c>
      <c r="BW92" s="78">
        <v>0</v>
      </c>
      <c r="BX92" s="66">
        <f t="shared" si="33"/>
        <v>2</v>
      </c>
      <c r="BY92" s="78">
        <v>0</v>
      </c>
      <c r="BZ92">
        <f t="shared" si="34"/>
        <v>0</v>
      </c>
      <c r="CA92" s="39">
        <v>1</v>
      </c>
      <c r="CB92" s="39">
        <v>1</v>
      </c>
      <c r="CC92" s="39">
        <v>2</v>
      </c>
      <c r="CD92" s="39">
        <v>0</v>
      </c>
      <c r="CE92" s="39">
        <v>0</v>
      </c>
      <c r="CF92" s="39">
        <v>0</v>
      </c>
      <c r="CG92" s="39">
        <v>0</v>
      </c>
      <c r="CH92" s="39">
        <v>0</v>
      </c>
      <c r="CI92" s="39">
        <v>0</v>
      </c>
      <c r="CJ92" s="39">
        <v>1</v>
      </c>
      <c r="CK92" s="39">
        <v>0</v>
      </c>
      <c r="CL92" s="39">
        <v>0</v>
      </c>
      <c r="CM92" s="39">
        <v>0</v>
      </c>
      <c r="CN92" s="39">
        <v>0</v>
      </c>
      <c r="CO92">
        <v>1</v>
      </c>
      <c r="CP92" s="39">
        <v>1</v>
      </c>
      <c r="CQ92" s="39">
        <v>0</v>
      </c>
      <c r="CR92" s="39">
        <v>0</v>
      </c>
      <c r="CS92" s="39">
        <v>0</v>
      </c>
      <c r="CT92" s="39">
        <v>0</v>
      </c>
      <c r="CU92" s="39">
        <v>0</v>
      </c>
      <c r="CV92" s="39">
        <v>1</v>
      </c>
      <c r="CW92" s="31"/>
      <c r="CY92">
        <v>0</v>
      </c>
      <c r="DA92" s="43">
        <v>42446</v>
      </c>
      <c r="DB92" s="66">
        <f t="shared" si="35"/>
        <v>2</v>
      </c>
      <c r="DC92" s="39" t="s">
        <v>1</v>
      </c>
      <c r="DD92" s="39">
        <v>0</v>
      </c>
      <c r="DE92" s="43">
        <v>42447</v>
      </c>
      <c r="DF92" s="39">
        <v>2</v>
      </c>
      <c r="DG92" s="43">
        <v>42446</v>
      </c>
      <c r="DH92" s="39">
        <v>15</v>
      </c>
      <c r="DI92" s="39">
        <v>14.4</v>
      </c>
      <c r="DJ92" s="39">
        <v>3.8</v>
      </c>
      <c r="DK92" s="80">
        <v>324</v>
      </c>
      <c r="DM92" s="39">
        <v>35</v>
      </c>
      <c r="DO92" s="39">
        <v>1</v>
      </c>
      <c r="DP92" s="39">
        <v>348</v>
      </c>
      <c r="DR92" s="39">
        <v>85</v>
      </c>
      <c r="DW92" s="43">
        <v>42446</v>
      </c>
      <c r="DX92" s="39">
        <v>19</v>
      </c>
      <c r="DY92">
        <f t="shared" si="49"/>
        <v>26.9</v>
      </c>
      <c r="DZ92">
        <v>1</v>
      </c>
      <c r="EA92" s="39">
        <v>26.9</v>
      </c>
      <c r="EB92">
        <v>1</v>
      </c>
      <c r="EC92" s="39">
        <v>1.6</v>
      </c>
      <c r="ED92">
        <f t="shared" si="50"/>
        <v>3.85</v>
      </c>
      <c r="EE92">
        <v>1</v>
      </c>
      <c r="EF92" s="39">
        <v>3.85</v>
      </c>
      <c r="EG92">
        <v>1</v>
      </c>
      <c r="EH92" s="39">
        <v>163</v>
      </c>
      <c r="EI92" s="62">
        <v>1.6748466257668699</v>
      </c>
      <c r="EJ92" s="39">
        <v>273</v>
      </c>
      <c r="EK92" s="39">
        <v>1</v>
      </c>
      <c r="EL92">
        <f t="shared" si="36"/>
        <v>110</v>
      </c>
      <c r="EM92" s="39">
        <v>273</v>
      </c>
      <c r="EN92" s="39">
        <v>1</v>
      </c>
      <c r="ER92" s="39">
        <v>19</v>
      </c>
      <c r="ES92" s="39">
        <v>65</v>
      </c>
      <c r="ET92" s="39">
        <v>49</v>
      </c>
      <c r="EU92" s="39">
        <v>143</v>
      </c>
      <c r="EV92" s="39">
        <v>71</v>
      </c>
      <c r="EW92" s="39">
        <v>86</v>
      </c>
      <c r="EX92" s="39">
        <v>11</v>
      </c>
      <c r="EY92" s="39">
        <v>7</v>
      </c>
      <c r="FC92" s="39">
        <v>1</v>
      </c>
      <c r="FD92" s="39">
        <v>0</v>
      </c>
      <c r="FF92" s="39">
        <v>1</v>
      </c>
      <c r="FG92">
        <v>1</v>
      </c>
      <c r="FH92" s="43">
        <v>42447</v>
      </c>
      <c r="FI92">
        <v>1</v>
      </c>
      <c r="FJ92" s="1" t="e">
        <f>#REF!</f>
        <v>#REF!</v>
      </c>
      <c r="FK92" s="39">
        <v>0</v>
      </c>
      <c r="FL92">
        <v>0</v>
      </c>
      <c r="FM92"/>
      <c r="FN92"/>
      <c r="FO92">
        <v>0</v>
      </c>
      <c r="FQ92" s="44">
        <v>42446</v>
      </c>
      <c r="FR92" s="45" t="s">
        <v>230</v>
      </c>
      <c r="FS92" s="45">
        <v>1</v>
      </c>
      <c r="FT92" s="45">
        <v>0</v>
      </c>
      <c r="FU92" s="45">
        <v>1</v>
      </c>
      <c r="FV92" s="45">
        <v>1</v>
      </c>
      <c r="FW92" s="45">
        <v>1</v>
      </c>
      <c r="FX92" s="45">
        <v>1</v>
      </c>
      <c r="FY92" s="45">
        <v>0</v>
      </c>
      <c r="FZ92" s="45">
        <v>0</v>
      </c>
      <c r="GA92" s="45">
        <v>0</v>
      </c>
      <c r="GB92" s="45">
        <v>0</v>
      </c>
      <c r="GC92" s="45">
        <v>1</v>
      </c>
      <c r="GD92" s="45">
        <v>1</v>
      </c>
      <c r="GE92" s="45">
        <v>1</v>
      </c>
      <c r="GF92" s="45">
        <v>0</v>
      </c>
      <c r="GG92" s="45">
        <v>0</v>
      </c>
      <c r="GH92" s="45">
        <v>0</v>
      </c>
      <c r="GI92" s="45">
        <v>0</v>
      </c>
      <c r="GJ92" s="45">
        <v>1</v>
      </c>
      <c r="GK92" s="45">
        <v>0</v>
      </c>
      <c r="GL92" s="45">
        <v>0</v>
      </c>
      <c r="GM92" s="45">
        <v>1</v>
      </c>
      <c r="GN92" s="45">
        <v>0</v>
      </c>
      <c r="GO92" s="45">
        <v>1</v>
      </c>
      <c r="GP92" s="45">
        <v>1</v>
      </c>
      <c r="GQ92" s="45">
        <v>0</v>
      </c>
      <c r="GR92" s="45">
        <v>1</v>
      </c>
      <c r="GS92" s="45">
        <v>1</v>
      </c>
      <c r="GT92" s="45">
        <v>0</v>
      </c>
      <c r="GU92" s="45">
        <v>1</v>
      </c>
      <c r="GV92" s="45">
        <v>0</v>
      </c>
      <c r="GW92" s="45">
        <v>0</v>
      </c>
      <c r="GX92" s="45">
        <v>0</v>
      </c>
      <c r="GY92" s="15">
        <v>0</v>
      </c>
      <c r="GZ92" s="15">
        <v>0</v>
      </c>
      <c r="HA92" s="45">
        <v>0</v>
      </c>
      <c r="HB92" s="45">
        <v>1</v>
      </c>
      <c r="HC92" s="45">
        <v>0</v>
      </c>
      <c r="HD92" s="45">
        <v>0</v>
      </c>
      <c r="HE92" s="15">
        <v>0</v>
      </c>
      <c r="HF92" s="15">
        <v>0</v>
      </c>
      <c r="HG92" s="45">
        <v>0</v>
      </c>
      <c r="HH92" s="45">
        <v>1</v>
      </c>
      <c r="HI92" s="45">
        <v>1</v>
      </c>
      <c r="HJ92" s="45">
        <v>1</v>
      </c>
      <c r="HK92" s="45">
        <v>1</v>
      </c>
      <c r="HL92" s="45">
        <v>1</v>
      </c>
      <c r="HM92" s="45">
        <v>0</v>
      </c>
      <c r="HN92" s="45">
        <v>1</v>
      </c>
      <c r="HO92" s="45">
        <v>1</v>
      </c>
      <c r="HP92" s="45">
        <v>0</v>
      </c>
      <c r="HQ92" s="45">
        <v>0</v>
      </c>
      <c r="HR92" s="45">
        <v>0</v>
      </c>
      <c r="HS92" s="45">
        <v>0</v>
      </c>
      <c r="HT92" s="45">
        <v>1</v>
      </c>
      <c r="HU92" s="45">
        <v>1</v>
      </c>
      <c r="HV92" s="45">
        <v>0</v>
      </c>
      <c r="HW92" s="45">
        <v>1</v>
      </c>
      <c r="HX92" s="45">
        <v>1</v>
      </c>
      <c r="HY92" s="45"/>
      <c r="HZ92" s="45"/>
      <c r="IA92" s="45"/>
      <c r="IB92" s="45"/>
      <c r="IC92" s="45"/>
      <c r="ID92" s="45"/>
      <c r="IE92" s="45"/>
      <c r="IF92" s="45"/>
      <c r="IG92" s="45"/>
      <c r="IH92" s="45"/>
      <c r="II92" s="45"/>
      <c r="IJ92" s="45"/>
      <c r="IK92" s="45"/>
      <c r="IL92" s="45"/>
      <c r="IM92" s="45"/>
      <c r="IN92" s="45"/>
      <c r="IO92" s="45"/>
      <c r="IP92" s="45"/>
      <c r="IQ92" s="45"/>
      <c r="IR92" s="45"/>
      <c r="IS92" s="45"/>
      <c r="IT92" s="45"/>
      <c r="IU92" s="45"/>
      <c r="IV92" s="45"/>
      <c r="IW92" s="45"/>
      <c r="IX92" s="45"/>
      <c r="IY92" s="45"/>
      <c r="IZ92" s="45"/>
      <c r="JA92" s="45"/>
      <c r="JB92" s="45"/>
      <c r="JC92" s="45"/>
      <c r="JD92" s="45"/>
      <c r="JE92" s="45"/>
      <c r="JF92" s="45"/>
      <c r="JG92" s="45"/>
      <c r="JH92" s="45"/>
      <c r="JI92" s="45"/>
      <c r="JJ92" s="45"/>
      <c r="JK92" s="45"/>
      <c r="JL92" s="45"/>
      <c r="JM92" s="45"/>
      <c r="JN92" s="45"/>
      <c r="JO92" s="45"/>
      <c r="JP92" s="45"/>
      <c r="JQ92" s="45"/>
      <c r="JR92" s="45"/>
      <c r="JS92" s="45"/>
      <c r="JT92" s="45"/>
      <c r="JU92" s="45"/>
      <c r="JV92" s="45"/>
      <c r="JW92" s="45"/>
      <c r="JX92" s="45"/>
      <c r="JY92" s="45"/>
      <c r="JZ92" s="45"/>
      <c r="KA92" s="45"/>
      <c r="KB92" s="45"/>
      <c r="KC92" s="45"/>
      <c r="KD92" s="45"/>
      <c r="KE92" s="45"/>
      <c r="KF92" s="45"/>
      <c r="KG92"/>
      <c r="KH92"/>
      <c r="KI92">
        <v>1</v>
      </c>
      <c r="KJ92">
        <v>0</v>
      </c>
      <c r="KK92">
        <v>1</v>
      </c>
      <c r="KL92">
        <v>1</v>
      </c>
      <c r="KM92">
        <v>1</v>
      </c>
      <c r="KN92">
        <v>1</v>
      </c>
      <c r="KO92">
        <v>0</v>
      </c>
      <c r="KP92">
        <v>0</v>
      </c>
      <c r="KQ92">
        <v>0</v>
      </c>
      <c r="KR92">
        <v>0</v>
      </c>
      <c r="KS92">
        <v>1</v>
      </c>
      <c r="KT92">
        <v>1</v>
      </c>
      <c r="KU92">
        <v>1</v>
      </c>
      <c r="KV92">
        <v>0</v>
      </c>
      <c r="KW92">
        <v>0</v>
      </c>
      <c r="KX92">
        <v>0</v>
      </c>
      <c r="KY92">
        <v>0</v>
      </c>
      <c r="KZ92">
        <v>1</v>
      </c>
      <c r="LA92">
        <v>0</v>
      </c>
      <c r="LB92">
        <v>0</v>
      </c>
      <c r="LC92">
        <v>1</v>
      </c>
      <c r="LD92">
        <v>0</v>
      </c>
      <c r="LE92">
        <v>1</v>
      </c>
      <c r="LF92">
        <v>1</v>
      </c>
      <c r="LG92">
        <v>0</v>
      </c>
      <c r="LH92">
        <v>1</v>
      </c>
      <c r="LI92">
        <v>1</v>
      </c>
      <c r="LJ92">
        <v>0</v>
      </c>
      <c r="LK92">
        <v>1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1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0</v>
      </c>
      <c r="MD92">
        <v>1</v>
      </c>
      <c r="ME92">
        <v>1</v>
      </c>
      <c r="MF92">
        <v>0</v>
      </c>
      <c r="MG92">
        <v>0</v>
      </c>
      <c r="MH92">
        <v>0</v>
      </c>
      <c r="MI92">
        <v>0</v>
      </c>
      <c r="MJ92">
        <v>1</v>
      </c>
      <c r="MK92">
        <v>1</v>
      </c>
      <c r="ML92">
        <v>0</v>
      </c>
      <c r="MM92">
        <v>1</v>
      </c>
      <c r="MN92">
        <v>1</v>
      </c>
      <c r="MO92">
        <v>1</v>
      </c>
      <c r="MP92">
        <v>0</v>
      </c>
      <c r="MQ92">
        <v>1</v>
      </c>
      <c r="MR92">
        <v>1</v>
      </c>
    </row>
    <row r="93" spans="1:358" s="39" customFormat="1" ht="18" x14ac:dyDescent="0.25">
      <c r="A93" t="s">
        <v>485</v>
      </c>
      <c r="B93" s="40">
        <v>51</v>
      </c>
      <c r="C93" s="40">
        <v>0</v>
      </c>
      <c r="D93" s="40">
        <v>1</v>
      </c>
      <c r="E93" s="41">
        <v>42973</v>
      </c>
      <c r="F93" s="61">
        <v>3</v>
      </c>
      <c r="G93" s="61"/>
      <c r="H93" s="57">
        <v>1</v>
      </c>
      <c r="I93" s="57">
        <v>1</v>
      </c>
      <c r="J93" s="57">
        <v>0</v>
      </c>
      <c r="K93" s="42">
        <v>42973</v>
      </c>
      <c r="L93" s="65">
        <v>1</v>
      </c>
      <c r="M93" s="42">
        <v>43038</v>
      </c>
      <c r="N93" s="40">
        <v>0</v>
      </c>
      <c r="O93" s="42">
        <v>45030</v>
      </c>
      <c r="P93" s="64">
        <f t="shared" si="32"/>
        <v>2060</v>
      </c>
      <c r="Q93" s="39">
        <v>1</v>
      </c>
      <c r="R93" s="39">
        <v>1</v>
      </c>
      <c r="S93" s="39">
        <v>0</v>
      </c>
      <c r="T93" s="39">
        <v>93</v>
      </c>
      <c r="U93" s="39">
        <v>0</v>
      </c>
      <c r="V93" s="39">
        <v>1</v>
      </c>
      <c r="W93" s="39">
        <v>1</v>
      </c>
      <c r="X93" s="39">
        <v>1</v>
      </c>
      <c r="Y93" s="39">
        <v>1</v>
      </c>
      <c r="Z93" s="39">
        <v>0</v>
      </c>
      <c r="AA93" s="39">
        <v>0</v>
      </c>
      <c r="AB93" s="39">
        <v>0</v>
      </c>
      <c r="AC93" s="39">
        <v>0</v>
      </c>
      <c r="AD93" s="39">
        <v>0</v>
      </c>
      <c r="AE93" s="39">
        <v>0</v>
      </c>
      <c r="AF93" s="39">
        <v>0</v>
      </c>
      <c r="AG93" s="39">
        <v>0</v>
      </c>
      <c r="AH93" s="39">
        <v>0</v>
      </c>
      <c r="AI93" s="39">
        <v>0</v>
      </c>
      <c r="AJ93" s="39">
        <v>0</v>
      </c>
      <c r="AK93" s="39">
        <v>0</v>
      </c>
      <c r="AL93" s="39">
        <v>0</v>
      </c>
      <c r="AM93" s="39">
        <v>0</v>
      </c>
      <c r="AN93" s="39">
        <v>90</v>
      </c>
      <c r="AO93" s="39">
        <v>185</v>
      </c>
      <c r="AP93" s="39">
        <v>26.3</v>
      </c>
      <c r="AQ93" s="39">
        <v>38.4</v>
      </c>
      <c r="AR93" s="39">
        <v>109</v>
      </c>
      <c r="AS93" s="39">
        <v>60</v>
      </c>
      <c r="AT93" s="39">
        <v>3</v>
      </c>
      <c r="AU93">
        <v>1</v>
      </c>
      <c r="AV93" s="39">
        <v>68</v>
      </c>
      <c r="AW93" s="43">
        <v>42970</v>
      </c>
      <c r="AX93" s="43">
        <v>42970</v>
      </c>
      <c r="AY93" s="39">
        <v>1</v>
      </c>
      <c r="AZ93" s="43">
        <v>42970</v>
      </c>
      <c r="BA93" s="39">
        <v>1</v>
      </c>
      <c r="BB93" s="39">
        <v>1</v>
      </c>
      <c r="BC93" s="39">
        <v>0</v>
      </c>
      <c r="BD93" s="39">
        <v>0</v>
      </c>
      <c r="BE93" s="39">
        <v>0</v>
      </c>
      <c r="BF93" s="39">
        <v>0</v>
      </c>
      <c r="BG93" s="39">
        <v>0</v>
      </c>
      <c r="BH93" s="39">
        <v>1</v>
      </c>
      <c r="BI93" s="39">
        <v>1</v>
      </c>
      <c r="BJ93">
        <v>0</v>
      </c>
      <c r="BK93">
        <v>0</v>
      </c>
      <c r="BL93">
        <v>0</v>
      </c>
      <c r="BM93" s="66">
        <v>0</v>
      </c>
      <c r="BN93" s="39">
        <v>1</v>
      </c>
      <c r="BO93">
        <v>0</v>
      </c>
      <c r="BP93" s="66">
        <f t="shared" ref="BP93:BP95" si="51">BJ93+BK93+BL93+BM93+BN93+BO93</f>
        <v>1</v>
      </c>
      <c r="BQ93">
        <v>0</v>
      </c>
      <c r="BR93">
        <v>0</v>
      </c>
      <c r="BS93" s="39">
        <v>3</v>
      </c>
      <c r="BT93">
        <v>0</v>
      </c>
      <c r="BU93" s="66">
        <f t="shared" ref="BU93:BU95" si="52">BM93</f>
        <v>0</v>
      </c>
      <c r="BV93" s="39">
        <v>1</v>
      </c>
      <c r="BW93">
        <v>0</v>
      </c>
      <c r="BX93" s="66">
        <f t="shared" si="33"/>
        <v>4</v>
      </c>
      <c r="BY93" s="39">
        <v>1</v>
      </c>
      <c r="BZ93">
        <v>1</v>
      </c>
      <c r="CA93" s="39">
        <v>1</v>
      </c>
      <c r="CB93" s="39">
        <v>1</v>
      </c>
      <c r="CC93" s="39">
        <v>2</v>
      </c>
      <c r="CD93" s="39">
        <v>0</v>
      </c>
      <c r="CE93" s="39">
        <v>0</v>
      </c>
      <c r="CF93" s="39">
        <v>0</v>
      </c>
      <c r="CG93" s="39">
        <v>0</v>
      </c>
      <c r="CH93" s="39">
        <v>0</v>
      </c>
      <c r="CI93" s="39">
        <v>1</v>
      </c>
      <c r="CJ93" s="39">
        <v>0</v>
      </c>
      <c r="CK93" s="39">
        <v>0</v>
      </c>
      <c r="CL93" s="39">
        <v>0</v>
      </c>
      <c r="CM93" s="39">
        <v>0</v>
      </c>
      <c r="CN93" s="39">
        <v>0</v>
      </c>
      <c r="CO93">
        <v>1</v>
      </c>
      <c r="CP93" s="39">
        <v>0</v>
      </c>
      <c r="CQ93" s="39">
        <v>0</v>
      </c>
      <c r="CR93" s="39">
        <v>0</v>
      </c>
      <c r="CS93" s="39">
        <v>0</v>
      </c>
      <c r="CT93" s="39">
        <v>0</v>
      </c>
      <c r="CU93" s="39">
        <v>0</v>
      </c>
      <c r="CV93" s="39">
        <v>0</v>
      </c>
      <c r="CW93" s="31"/>
      <c r="DA93" s="43">
        <v>42972</v>
      </c>
      <c r="DB93" s="66">
        <f t="shared" si="35"/>
        <v>2</v>
      </c>
      <c r="DC93" s="39" t="s">
        <v>1</v>
      </c>
      <c r="DD93" s="39">
        <v>1</v>
      </c>
      <c r="DE93" s="43">
        <v>42973</v>
      </c>
      <c r="DF93" s="39">
        <v>2</v>
      </c>
      <c r="DG93" s="43">
        <v>42972</v>
      </c>
      <c r="DH93" s="39">
        <v>12</v>
      </c>
      <c r="DI93" s="39">
        <v>22</v>
      </c>
      <c r="DJ93" s="39">
        <v>2</v>
      </c>
      <c r="DK93" s="80">
        <v>475</v>
      </c>
      <c r="DL93" s="39">
        <v>6</v>
      </c>
      <c r="DM93" s="39">
        <v>60</v>
      </c>
      <c r="DO93" s="39">
        <v>2</v>
      </c>
      <c r="DP93" s="39">
        <v>475</v>
      </c>
      <c r="DR93" s="39">
        <v>116</v>
      </c>
      <c r="DS93" s="39">
        <v>7.2</v>
      </c>
      <c r="DT93" s="39">
        <v>287</v>
      </c>
      <c r="DU93" s="39">
        <v>20</v>
      </c>
      <c r="DV93" s="39">
        <v>4</v>
      </c>
      <c r="DW93" s="43">
        <v>42970</v>
      </c>
      <c r="DX93" s="39">
        <v>26.2</v>
      </c>
      <c r="DY93">
        <f t="shared" si="49"/>
        <v>31</v>
      </c>
      <c r="DZ93">
        <v>1</v>
      </c>
      <c r="EA93" s="39">
        <v>31</v>
      </c>
      <c r="EB93">
        <v>1</v>
      </c>
      <c r="EC93" s="39">
        <v>0.9</v>
      </c>
      <c r="ED93">
        <f t="shared" si="50"/>
        <v>1</v>
      </c>
      <c r="EE93">
        <v>0</v>
      </c>
      <c r="EF93" s="39">
        <v>1</v>
      </c>
      <c r="EG93">
        <v>0</v>
      </c>
      <c r="EH93" s="39">
        <v>320</v>
      </c>
      <c r="EI93" s="62">
        <v>1</v>
      </c>
      <c r="EJ93" s="39">
        <v>320</v>
      </c>
      <c r="EK93" s="39">
        <v>1</v>
      </c>
      <c r="EL93">
        <f t="shared" si="36"/>
        <v>0</v>
      </c>
      <c r="EM93" s="39">
        <v>320</v>
      </c>
      <c r="EN93" s="39">
        <v>1</v>
      </c>
      <c r="ER93" s="39">
        <v>21</v>
      </c>
      <c r="ES93" s="39">
        <v>13</v>
      </c>
      <c r="ET93" s="39">
        <v>18</v>
      </c>
      <c r="EU93" s="39">
        <v>11</v>
      </c>
      <c r="EV93" s="39">
        <v>63</v>
      </c>
      <c r="EW93" s="39">
        <v>89</v>
      </c>
      <c r="EX93" s="39">
        <v>16</v>
      </c>
      <c r="EY93" s="39">
        <v>11</v>
      </c>
      <c r="FA93" s="39">
        <v>7.31</v>
      </c>
      <c r="FC93" s="39">
        <v>1</v>
      </c>
      <c r="FD93" s="39">
        <v>1</v>
      </c>
      <c r="FE93" s="39" t="e">
        <f>#REF!</f>
        <v>#REF!</v>
      </c>
      <c r="FF93" s="39">
        <v>1</v>
      </c>
      <c r="FG93">
        <v>1</v>
      </c>
      <c r="FH93" s="43">
        <v>42972</v>
      </c>
      <c r="FI93" s="43"/>
      <c r="FJ93" s="43"/>
      <c r="FK93" s="39">
        <v>0</v>
      </c>
      <c r="FL93">
        <v>0</v>
      </c>
      <c r="FM93"/>
      <c r="FN93"/>
      <c r="FO93">
        <v>0</v>
      </c>
      <c r="FQ93" s="44">
        <v>42972</v>
      </c>
      <c r="FR93" s="44" t="s">
        <v>231</v>
      </c>
      <c r="FS93" s="45">
        <v>1</v>
      </c>
      <c r="FT93" s="45">
        <v>1</v>
      </c>
      <c r="FU93" s="45">
        <v>1</v>
      </c>
      <c r="FV93" s="45">
        <v>0</v>
      </c>
      <c r="FW93" s="45">
        <v>1</v>
      </c>
      <c r="FX93" s="45">
        <v>0</v>
      </c>
      <c r="FY93" s="45">
        <v>1</v>
      </c>
      <c r="FZ93" s="45">
        <v>1</v>
      </c>
      <c r="GA93" s="45">
        <v>1</v>
      </c>
      <c r="GB93" s="45">
        <v>1</v>
      </c>
      <c r="GC93" s="45">
        <v>1</v>
      </c>
      <c r="GD93" s="45">
        <v>1</v>
      </c>
      <c r="GE93" s="45">
        <v>1</v>
      </c>
      <c r="GF93" s="45">
        <v>1</v>
      </c>
      <c r="GG93" s="45">
        <v>1</v>
      </c>
      <c r="GH93" s="45">
        <v>1</v>
      </c>
      <c r="GI93" s="45">
        <v>0</v>
      </c>
      <c r="GJ93" s="45">
        <v>0</v>
      </c>
      <c r="GK93" s="45">
        <v>1</v>
      </c>
      <c r="GL93" s="45">
        <v>0</v>
      </c>
      <c r="GM93" s="45">
        <v>0</v>
      </c>
      <c r="GN93" s="45">
        <v>1</v>
      </c>
      <c r="GO93" s="45">
        <v>1</v>
      </c>
      <c r="GP93" s="45">
        <v>0</v>
      </c>
      <c r="GQ93" s="45">
        <v>1</v>
      </c>
      <c r="GR93" s="45">
        <v>1</v>
      </c>
      <c r="GS93" s="45">
        <v>1</v>
      </c>
      <c r="GT93" s="45">
        <v>1</v>
      </c>
      <c r="GU93" s="45">
        <v>1</v>
      </c>
      <c r="GV93" s="45">
        <v>0</v>
      </c>
      <c r="GW93" s="45">
        <v>0</v>
      </c>
      <c r="GX93" s="45">
        <v>0</v>
      </c>
      <c r="GY93" s="15">
        <v>0</v>
      </c>
      <c r="GZ93" s="15">
        <v>0</v>
      </c>
      <c r="HA93" s="45">
        <v>0</v>
      </c>
      <c r="HB93" s="45">
        <v>0</v>
      </c>
      <c r="HC93" s="45">
        <v>0</v>
      </c>
      <c r="HD93" s="45" t="s">
        <v>291</v>
      </c>
      <c r="HE93" s="45">
        <v>1</v>
      </c>
      <c r="HF93" s="45">
        <v>1</v>
      </c>
      <c r="HG93" s="45">
        <v>1</v>
      </c>
      <c r="HH93" s="45">
        <v>1</v>
      </c>
      <c r="HI93" s="45">
        <v>1</v>
      </c>
      <c r="HJ93" s="45">
        <v>1</v>
      </c>
      <c r="HK93" s="45">
        <v>0</v>
      </c>
      <c r="HL93" s="45">
        <v>1</v>
      </c>
      <c r="HM93" s="45">
        <v>1</v>
      </c>
      <c r="HN93" s="45">
        <v>1</v>
      </c>
      <c r="HO93" s="45">
        <v>1</v>
      </c>
      <c r="HP93" s="45">
        <v>0</v>
      </c>
      <c r="HQ93" s="45">
        <v>0</v>
      </c>
      <c r="HR93" s="45">
        <v>0</v>
      </c>
      <c r="HS93" s="45">
        <v>0</v>
      </c>
      <c r="HT93" s="45">
        <v>1</v>
      </c>
      <c r="HU93" s="45">
        <v>1</v>
      </c>
      <c r="HV93" s="45">
        <v>0</v>
      </c>
      <c r="HW93" s="45">
        <v>1</v>
      </c>
      <c r="HX93" s="45">
        <v>0</v>
      </c>
      <c r="HY93" s="45"/>
      <c r="HZ93" s="45"/>
      <c r="IA93" s="45"/>
      <c r="IB93" s="45"/>
      <c r="IC93" s="45"/>
      <c r="ID93" s="45"/>
      <c r="IE93" s="45"/>
      <c r="IF93" s="45"/>
      <c r="IG93" s="45"/>
      <c r="IH93" s="45"/>
      <c r="II93" s="45"/>
      <c r="IJ93" s="45"/>
      <c r="IK93" s="45"/>
      <c r="IL93" s="45"/>
      <c r="IM93" s="45"/>
      <c r="IN93" s="45"/>
      <c r="IO93" s="45"/>
      <c r="IP93" s="45"/>
      <c r="IQ93" s="45"/>
      <c r="IR93" s="45"/>
      <c r="IS93" s="45"/>
      <c r="IT93" s="45"/>
      <c r="IU93" s="45"/>
      <c r="IV93" s="45"/>
      <c r="IW93" s="45"/>
      <c r="IX93" s="45"/>
      <c r="IY93" s="45"/>
      <c r="IZ93" s="45"/>
      <c r="JA93" s="45"/>
      <c r="JB93" s="45"/>
      <c r="JC93" s="45"/>
      <c r="JD93" s="45"/>
      <c r="JE93" s="45"/>
      <c r="JF93" s="45"/>
      <c r="JG93" s="45"/>
      <c r="JH93" s="45"/>
      <c r="JI93" s="45"/>
      <c r="JJ93" s="45"/>
      <c r="JK93" s="45"/>
      <c r="JL93" s="45"/>
      <c r="JM93" s="45"/>
      <c r="JN93" s="45"/>
      <c r="JO93" s="45"/>
      <c r="JP93" s="45"/>
      <c r="JQ93" s="45"/>
      <c r="JR93" s="45"/>
      <c r="JS93" s="45"/>
      <c r="JT93" s="45"/>
      <c r="JU93" s="45"/>
      <c r="JV93" s="45"/>
      <c r="JW93" s="45"/>
      <c r="JX93" s="45"/>
      <c r="JY93" s="45"/>
      <c r="JZ93" s="45"/>
      <c r="KA93" s="45"/>
      <c r="KB93" s="45"/>
      <c r="KC93" s="45"/>
      <c r="KD93" s="45"/>
      <c r="KE93" s="45"/>
      <c r="KF93" s="45"/>
      <c r="KG93"/>
      <c r="KH93"/>
      <c r="KI93">
        <v>1</v>
      </c>
      <c r="KJ93">
        <v>1</v>
      </c>
      <c r="KK93">
        <v>1</v>
      </c>
      <c r="KL93">
        <v>0</v>
      </c>
      <c r="KM93">
        <v>1</v>
      </c>
      <c r="KN93">
        <v>0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0</v>
      </c>
      <c r="KZ93">
        <v>0</v>
      </c>
      <c r="LA93">
        <v>1</v>
      </c>
      <c r="LB93">
        <v>0</v>
      </c>
      <c r="LC93">
        <v>0</v>
      </c>
      <c r="LD93">
        <v>1</v>
      </c>
      <c r="LE93">
        <v>1</v>
      </c>
      <c r="LF93">
        <v>0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/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0</v>
      </c>
      <c r="MB93">
        <v>1</v>
      </c>
      <c r="MC93">
        <v>1</v>
      </c>
      <c r="MD93">
        <v>1</v>
      </c>
      <c r="ME93">
        <v>1</v>
      </c>
      <c r="MF93">
        <v>0</v>
      </c>
      <c r="MG93">
        <v>0</v>
      </c>
      <c r="MH93">
        <v>0</v>
      </c>
      <c r="MI93">
        <v>0</v>
      </c>
      <c r="MJ93">
        <v>1</v>
      </c>
      <c r="MK93">
        <v>1</v>
      </c>
      <c r="ML93">
        <v>0</v>
      </c>
      <c r="MM93">
        <v>1</v>
      </c>
      <c r="MN93">
        <v>0</v>
      </c>
      <c r="MO93">
        <v>1</v>
      </c>
      <c r="MP93">
        <v>1</v>
      </c>
      <c r="MQ93">
        <v>1</v>
      </c>
      <c r="MR93">
        <v>1</v>
      </c>
    </row>
    <row r="94" spans="1:358" s="39" customFormat="1" ht="18" x14ac:dyDescent="0.25">
      <c r="A94" t="s">
        <v>486</v>
      </c>
      <c r="B94" s="40">
        <v>70</v>
      </c>
      <c r="C94" s="40">
        <v>0</v>
      </c>
      <c r="D94" s="40">
        <v>0</v>
      </c>
      <c r="E94" s="40"/>
      <c r="F94" s="55">
        <v>1850</v>
      </c>
      <c r="G94" s="55"/>
      <c r="H94" s="57">
        <v>0</v>
      </c>
      <c r="I94" s="57">
        <v>0</v>
      </c>
      <c r="J94" s="57"/>
      <c r="K94" s="40"/>
      <c r="L94" s="40"/>
      <c r="M94" s="40"/>
      <c r="N94" s="40">
        <v>0</v>
      </c>
      <c r="O94" s="42">
        <v>45063</v>
      </c>
      <c r="P94" s="64">
        <f t="shared" si="32"/>
        <v>1850</v>
      </c>
      <c r="Q94" s="39">
        <v>1</v>
      </c>
      <c r="R94" s="39">
        <v>1</v>
      </c>
      <c r="S94" s="39">
        <v>0</v>
      </c>
      <c r="T94" s="39">
        <v>92</v>
      </c>
      <c r="U94" s="39">
        <v>1</v>
      </c>
      <c r="V94" s="39">
        <v>1</v>
      </c>
      <c r="W94" s="39">
        <v>0</v>
      </c>
      <c r="X94" s="39">
        <v>0</v>
      </c>
      <c r="Y94" s="39">
        <v>0</v>
      </c>
      <c r="Z94" s="39">
        <v>1</v>
      </c>
      <c r="AA94" s="39">
        <v>0</v>
      </c>
      <c r="AB94" s="39">
        <v>0</v>
      </c>
      <c r="AC94" s="39">
        <v>0</v>
      </c>
      <c r="AD94" s="39">
        <v>0</v>
      </c>
      <c r="AE94" s="39">
        <v>0</v>
      </c>
      <c r="AF94" s="39">
        <v>0</v>
      </c>
      <c r="AG94" s="39">
        <v>0</v>
      </c>
      <c r="AH94" s="39">
        <v>0</v>
      </c>
      <c r="AI94" s="39">
        <v>0</v>
      </c>
      <c r="AJ94" s="39">
        <v>0</v>
      </c>
      <c r="AK94" s="39">
        <v>0</v>
      </c>
      <c r="AL94" s="39">
        <v>0</v>
      </c>
      <c r="AM94" s="39">
        <v>0</v>
      </c>
      <c r="AN94" s="39">
        <v>78</v>
      </c>
      <c r="AO94" s="39">
        <v>170</v>
      </c>
      <c r="AP94" s="39">
        <v>27</v>
      </c>
      <c r="AQ94" s="39">
        <v>36.6</v>
      </c>
      <c r="AR94" s="39">
        <v>126</v>
      </c>
      <c r="AS94" s="39">
        <v>64</v>
      </c>
      <c r="AT94" s="39">
        <v>2</v>
      </c>
      <c r="AU94">
        <v>0</v>
      </c>
      <c r="AV94" s="39">
        <v>48</v>
      </c>
      <c r="AW94" s="43">
        <v>43212</v>
      </c>
      <c r="AX94" s="43">
        <v>43213</v>
      </c>
      <c r="AY94" s="39">
        <v>0</v>
      </c>
      <c r="AZ94" s="43">
        <v>43212</v>
      </c>
      <c r="BA94" s="39">
        <v>1</v>
      </c>
      <c r="BB94" s="39">
        <v>0</v>
      </c>
      <c r="BC94" s="39">
        <v>0</v>
      </c>
      <c r="BD94" s="39">
        <v>1</v>
      </c>
      <c r="BE94" s="39">
        <v>0</v>
      </c>
      <c r="BF94" s="39">
        <v>0</v>
      </c>
      <c r="BG94" s="39">
        <v>0</v>
      </c>
      <c r="BH94" s="39">
        <v>0</v>
      </c>
      <c r="BI94" s="39">
        <v>0</v>
      </c>
      <c r="BJ94">
        <v>0</v>
      </c>
      <c r="BK94">
        <v>0</v>
      </c>
      <c r="BL94">
        <v>0</v>
      </c>
      <c r="BM94" s="66">
        <v>0</v>
      </c>
      <c r="BN94" s="39">
        <v>1</v>
      </c>
      <c r="BO94">
        <v>0</v>
      </c>
      <c r="BP94" s="66">
        <f t="shared" si="51"/>
        <v>1</v>
      </c>
      <c r="BQ94">
        <v>0</v>
      </c>
      <c r="BR94">
        <v>0</v>
      </c>
      <c r="BS94">
        <v>0</v>
      </c>
      <c r="BT94">
        <v>0</v>
      </c>
      <c r="BU94" s="66">
        <f t="shared" si="52"/>
        <v>0</v>
      </c>
      <c r="BV94" s="39">
        <v>1</v>
      </c>
      <c r="BW94">
        <v>0</v>
      </c>
      <c r="BX94" s="66">
        <f t="shared" si="33"/>
        <v>1</v>
      </c>
      <c r="BY94">
        <v>0</v>
      </c>
      <c r="BZ94">
        <f t="shared" si="34"/>
        <v>0</v>
      </c>
      <c r="CA94" s="39">
        <v>0</v>
      </c>
      <c r="CB94" s="39">
        <v>0</v>
      </c>
      <c r="CC94" s="39">
        <v>1</v>
      </c>
      <c r="CD94" s="39">
        <v>0</v>
      </c>
      <c r="CE94" s="39">
        <v>0</v>
      </c>
      <c r="CF94" s="39">
        <v>0</v>
      </c>
      <c r="CG94" s="39">
        <v>0</v>
      </c>
      <c r="CH94" s="39">
        <v>0</v>
      </c>
      <c r="CI94" s="39">
        <v>0</v>
      </c>
      <c r="CJ94" s="39">
        <v>0</v>
      </c>
      <c r="CK94" s="39">
        <v>0</v>
      </c>
      <c r="CL94" s="39">
        <v>0</v>
      </c>
      <c r="CM94" s="39">
        <v>0</v>
      </c>
      <c r="CN94" s="39">
        <v>0</v>
      </c>
      <c r="CO94">
        <f t="shared" si="39"/>
        <v>0</v>
      </c>
      <c r="CP94" s="39">
        <v>0</v>
      </c>
      <c r="CQ94" s="39">
        <v>0</v>
      </c>
      <c r="CR94" s="39">
        <v>0</v>
      </c>
      <c r="CS94" s="39">
        <v>0</v>
      </c>
      <c r="CT94" s="39">
        <v>0</v>
      </c>
      <c r="CU94" s="39">
        <v>0</v>
      </c>
      <c r="CV94" s="39">
        <v>0</v>
      </c>
      <c r="CW94" s="31"/>
      <c r="CX94" s="39">
        <v>1</v>
      </c>
      <c r="CY94">
        <v>0</v>
      </c>
      <c r="DA94" s="43">
        <v>43213</v>
      </c>
      <c r="DB94" s="66">
        <f t="shared" si="35"/>
        <v>1</v>
      </c>
      <c r="DC94" s="39" t="s">
        <v>1</v>
      </c>
      <c r="DD94" s="39">
        <v>0</v>
      </c>
      <c r="DE94" s="43">
        <v>43229</v>
      </c>
      <c r="DF94" s="39">
        <v>17</v>
      </c>
      <c r="DG94" s="43">
        <v>43213</v>
      </c>
      <c r="DH94" s="39">
        <v>14</v>
      </c>
      <c r="DI94" s="39">
        <v>9.8000000000000007</v>
      </c>
      <c r="DJ94" s="39">
        <v>1.1000000000000001</v>
      </c>
      <c r="DK94" s="80">
        <v>230</v>
      </c>
      <c r="DL94" s="39">
        <v>5</v>
      </c>
      <c r="DM94" s="39">
        <v>90</v>
      </c>
      <c r="DO94" s="39">
        <v>2</v>
      </c>
      <c r="DP94" s="39">
        <v>230</v>
      </c>
      <c r="DR94" s="39">
        <v>128</v>
      </c>
      <c r="DS94" s="39">
        <v>7.3</v>
      </c>
      <c r="DU94" s="39">
        <v>123</v>
      </c>
      <c r="DW94" s="43">
        <v>43212</v>
      </c>
      <c r="DX94" s="39">
        <v>11</v>
      </c>
      <c r="DY94" s="39">
        <v>12.7</v>
      </c>
      <c r="DZ94">
        <v>1</v>
      </c>
      <c r="EA94" s="39">
        <v>12.7</v>
      </c>
      <c r="EB94">
        <v>0</v>
      </c>
      <c r="EC94" s="39">
        <v>1</v>
      </c>
      <c r="ED94" s="39">
        <v>1.2</v>
      </c>
      <c r="EE94">
        <v>0</v>
      </c>
      <c r="EF94" s="39">
        <v>1.2</v>
      </c>
      <c r="EG94">
        <v>0</v>
      </c>
      <c r="EH94" s="39">
        <v>47</v>
      </c>
      <c r="EI94" s="62">
        <v>3.4468085106383</v>
      </c>
      <c r="EJ94" s="39">
        <v>162</v>
      </c>
      <c r="EK94">
        <v>0</v>
      </c>
      <c r="EL94">
        <f t="shared" si="36"/>
        <v>115</v>
      </c>
      <c r="EM94" s="39">
        <v>162</v>
      </c>
      <c r="EN94">
        <v>0</v>
      </c>
      <c r="EO94" s="39">
        <v>0.24</v>
      </c>
      <c r="ER94" s="39">
        <v>19</v>
      </c>
      <c r="ES94" s="39">
        <v>36</v>
      </c>
      <c r="ET94" s="39">
        <v>20</v>
      </c>
      <c r="EU94" s="39">
        <v>19</v>
      </c>
      <c r="EV94" s="39">
        <v>27</v>
      </c>
      <c r="EW94" s="39">
        <v>74</v>
      </c>
      <c r="EX94" s="39">
        <v>6</v>
      </c>
      <c r="EY94" s="39">
        <v>6</v>
      </c>
      <c r="FC94" s="39">
        <v>1</v>
      </c>
      <c r="FD94" s="39">
        <v>0</v>
      </c>
      <c r="FF94" s="39">
        <v>1</v>
      </c>
      <c r="FG94">
        <v>0</v>
      </c>
      <c r="FK94">
        <v>0</v>
      </c>
      <c r="FL94">
        <v>0</v>
      </c>
      <c r="FM94"/>
      <c r="FN94"/>
      <c r="FO94">
        <v>0</v>
      </c>
      <c r="FQ94" s="44">
        <v>43213</v>
      </c>
      <c r="FR94" s="44" t="s">
        <v>230</v>
      </c>
      <c r="FS94" s="45">
        <v>0</v>
      </c>
      <c r="FT94" s="45">
        <v>0</v>
      </c>
      <c r="FU94" s="45">
        <v>1</v>
      </c>
      <c r="FV94" s="45">
        <v>0</v>
      </c>
      <c r="FW94" s="45">
        <v>1</v>
      </c>
      <c r="FX94" s="45">
        <v>0</v>
      </c>
      <c r="FY94" s="45">
        <v>0</v>
      </c>
      <c r="FZ94" s="45">
        <v>0</v>
      </c>
      <c r="GA94" s="45">
        <v>1</v>
      </c>
      <c r="GB94" s="45">
        <v>1</v>
      </c>
      <c r="GC94" s="45">
        <v>1</v>
      </c>
      <c r="GD94" s="45">
        <v>1</v>
      </c>
      <c r="GE94" s="45">
        <v>1</v>
      </c>
      <c r="GF94" s="45">
        <v>0</v>
      </c>
      <c r="GG94" s="45">
        <v>1</v>
      </c>
      <c r="GH94" s="45">
        <v>1</v>
      </c>
      <c r="GI94" s="45">
        <v>1</v>
      </c>
      <c r="GJ94" s="45">
        <v>0</v>
      </c>
      <c r="GK94" s="45">
        <v>0</v>
      </c>
      <c r="GL94" s="45">
        <v>0</v>
      </c>
      <c r="GM94" s="45">
        <v>1</v>
      </c>
      <c r="GN94" s="45">
        <v>0</v>
      </c>
      <c r="GO94" s="45">
        <v>0</v>
      </c>
      <c r="GP94" s="45">
        <v>0</v>
      </c>
      <c r="GQ94" s="45">
        <v>0</v>
      </c>
      <c r="GR94" s="45">
        <v>0</v>
      </c>
      <c r="GS94" s="45">
        <v>0</v>
      </c>
      <c r="GT94" s="45">
        <v>0</v>
      </c>
      <c r="GU94" s="45">
        <v>0</v>
      </c>
      <c r="GV94" s="45">
        <v>0</v>
      </c>
      <c r="GW94" s="45">
        <v>1</v>
      </c>
      <c r="GX94" s="45" t="s">
        <v>232</v>
      </c>
      <c r="GY94" s="15">
        <v>0</v>
      </c>
      <c r="GZ94" s="15">
        <v>0</v>
      </c>
      <c r="HA94" s="45">
        <v>0</v>
      </c>
      <c r="HB94" s="45">
        <v>1</v>
      </c>
      <c r="HC94" s="45">
        <v>1</v>
      </c>
      <c r="HD94" s="45" t="s">
        <v>232</v>
      </c>
      <c r="HE94" s="15">
        <v>0</v>
      </c>
      <c r="HF94" s="15">
        <v>0</v>
      </c>
      <c r="HG94" s="45">
        <v>0</v>
      </c>
      <c r="HH94" s="45">
        <v>0</v>
      </c>
      <c r="HI94" s="45">
        <v>1</v>
      </c>
      <c r="HJ94" s="45">
        <v>0</v>
      </c>
      <c r="HK94" s="45">
        <v>0</v>
      </c>
      <c r="HL94" s="45">
        <v>1</v>
      </c>
      <c r="HM94" s="45"/>
      <c r="HN94" s="45">
        <v>1</v>
      </c>
      <c r="HO94" s="45">
        <v>1</v>
      </c>
      <c r="HP94" s="45">
        <v>0</v>
      </c>
      <c r="HQ94" s="45">
        <v>0</v>
      </c>
      <c r="HR94" s="45">
        <v>0</v>
      </c>
      <c r="HS94" s="45">
        <v>0</v>
      </c>
      <c r="HT94" s="45">
        <v>1</v>
      </c>
      <c r="HU94" s="45">
        <v>1</v>
      </c>
      <c r="HV94" s="45">
        <v>0</v>
      </c>
      <c r="HW94" s="45">
        <v>0</v>
      </c>
      <c r="HX94" s="45">
        <v>0</v>
      </c>
      <c r="HY94" s="44">
        <v>43219</v>
      </c>
      <c r="HZ94" s="45" t="s">
        <v>231</v>
      </c>
      <c r="IA94" s="45">
        <v>1</v>
      </c>
      <c r="IB94" s="45">
        <v>0</v>
      </c>
      <c r="IC94" s="45">
        <v>1</v>
      </c>
      <c r="ID94" s="45">
        <v>0</v>
      </c>
      <c r="IE94" s="45">
        <v>1</v>
      </c>
      <c r="IF94" s="45">
        <v>0</v>
      </c>
      <c r="IG94" s="45">
        <v>0</v>
      </c>
      <c r="IH94" s="45">
        <v>0</v>
      </c>
      <c r="II94" s="45">
        <v>1</v>
      </c>
      <c r="IJ94" s="45">
        <v>1</v>
      </c>
      <c r="IK94" s="45">
        <v>1</v>
      </c>
      <c r="IL94" s="45">
        <v>1</v>
      </c>
      <c r="IM94" s="45">
        <v>1</v>
      </c>
      <c r="IN94" s="45">
        <v>0</v>
      </c>
      <c r="IO94" s="45">
        <v>1</v>
      </c>
      <c r="IP94" s="45">
        <v>1</v>
      </c>
      <c r="IQ94" s="45">
        <v>1</v>
      </c>
      <c r="IR94" s="45">
        <v>0</v>
      </c>
      <c r="IS94" s="45">
        <v>0</v>
      </c>
      <c r="IT94" s="45">
        <v>0</v>
      </c>
      <c r="IU94" s="45">
        <v>1</v>
      </c>
      <c r="IV94" s="45">
        <v>0</v>
      </c>
      <c r="IW94" s="45">
        <v>0</v>
      </c>
      <c r="IX94" s="45">
        <v>0</v>
      </c>
      <c r="IY94" s="45">
        <v>0</v>
      </c>
      <c r="IZ94" s="45">
        <v>0</v>
      </c>
      <c r="JA94" s="45">
        <v>0</v>
      </c>
      <c r="JB94" s="45">
        <v>0</v>
      </c>
      <c r="JC94" s="45">
        <v>0</v>
      </c>
      <c r="JD94" s="45">
        <v>0</v>
      </c>
      <c r="JE94" s="45">
        <v>1</v>
      </c>
      <c r="JF94" s="45" t="s">
        <v>232</v>
      </c>
      <c r="JG94" s="15">
        <v>0</v>
      </c>
      <c r="JH94" s="15">
        <v>0</v>
      </c>
      <c r="JI94" s="45">
        <v>0</v>
      </c>
      <c r="JJ94" s="45">
        <v>1</v>
      </c>
      <c r="JK94" s="45">
        <v>1</v>
      </c>
      <c r="JL94" s="45" t="s">
        <v>232</v>
      </c>
      <c r="JM94" s="15">
        <v>0</v>
      </c>
      <c r="JN94" s="15">
        <v>0</v>
      </c>
      <c r="JO94" s="45">
        <v>0</v>
      </c>
      <c r="JP94" s="45">
        <v>0</v>
      </c>
      <c r="JQ94" s="45">
        <v>1</v>
      </c>
      <c r="JR94" s="45">
        <v>0</v>
      </c>
      <c r="JS94" s="45">
        <v>0</v>
      </c>
      <c r="JT94" s="45">
        <v>1</v>
      </c>
      <c r="JU94" s="45">
        <v>0</v>
      </c>
      <c r="JV94" s="45">
        <v>0</v>
      </c>
      <c r="JW94" s="45">
        <v>1</v>
      </c>
      <c r="JX94" s="45">
        <v>0</v>
      </c>
      <c r="JY94" s="45">
        <v>0</v>
      </c>
      <c r="JZ94" s="45">
        <v>0</v>
      </c>
      <c r="KA94" s="45">
        <v>0</v>
      </c>
      <c r="KB94" s="45">
        <v>0</v>
      </c>
      <c r="KC94" s="45">
        <v>1</v>
      </c>
      <c r="KD94" s="45">
        <v>0</v>
      </c>
      <c r="KE94" s="45">
        <v>0</v>
      </c>
      <c r="KF94" s="45">
        <v>0</v>
      </c>
      <c r="KG94"/>
      <c r="KH94"/>
      <c r="KI94">
        <v>1</v>
      </c>
      <c r="KJ94">
        <v>0</v>
      </c>
      <c r="KK94">
        <v>1</v>
      </c>
      <c r="KL94">
        <v>0</v>
      </c>
      <c r="KM94">
        <v>1</v>
      </c>
      <c r="KN94">
        <v>0</v>
      </c>
      <c r="KO94">
        <v>0</v>
      </c>
      <c r="KP94">
        <v>0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0</v>
      </c>
      <c r="KW94">
        <v>1</v>
      </c>
      <c r="KX94">
        <v>1</v>
      </c>
      <c r="KY94">
        <v>1</v>
      </c>
      <c r="KZ94">
        <v>0</v>
      </c>
      <c r="LA94">
        <v>0</v>
      </c>
      <c r="LB94">
        <v>0</v>
      </c>
      <c r="LC94">
        <v>1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1</v>
      </c>
      <c r="LN94"/>
      <c r="LO94">
        <v>0</v>
      </c>
      <c r="LP94">
        <v>0</v>
      </c>
      <c r="LQ94">
        <v>0</v>
      </c>
      <c r="LR94">
        <v>1</v>
      </c>
      <c r="LS94">
        <v>1</v>
      </c>
      <c r="LT94"/>
      <c r="LU94">
        <v>0</v>
      </c>
      <c r="LV94">
        <v>0</v>
      </c>
      <c r="LW94">
        <v>0</v>
      </c>
      <c r="LX94">
        <v>0</v>
      </c>
      <c r="LY94">
        <v>1</v>
      </c>
      <c r="LZ94">
        <v>0</v>
      </c>
      <c r="MA94">
        <v>0</v>
      </c>
      <c r="MB94">
        <v>1</v>
      </c>
      <c r="MC94">
        <v>0</v>
      </c>
      <c r="MD94">
        <v>1</v>
      </c>
      <c r="ME94">
        <v>1</v>
      </c>
      <c r="MF94">
        <v>0</v>
      </c>
      <c r="MG94">
        <v>0</v>
      </c>
      <c r="MH94">
        <v>0</v>
      </c>
      <c r="MI94">
        <v>0</v>
      </c>
      <c r="MJ94">
        <v>1</v>
      </c>
      <c r="MK94">
        <v>1</v>
      </c>
      <c r="ML94">
        <v>0</v>
      </c>
      <c r="MM94">
        <v>0</v>
      </c>
      <c r="MN94">
        <v>0</v>
      </c>
      <c r="MO94">
        <v>0</v>
      </c>
      <c r="MP94">
        <v>0</v>
      </c>
      <c r="MQ94">
        <f t="shared" si="37"/>
        <v>0</v>
      </c>
      <c r="MR94">
        <f t="shared" si="38"/>
        <v>0</v>
      </c>
    </row>
    <row r="95" spans="1:358" s="39" customFormat="1" ht="18" x14ac:dyDescent="0.25">
      <c r="A95" t="s">
        <v>487</v>
      </c>
      <c r="B95" s="40">
        <v>61</v>
      </c>
      <c r="C95" s="40">
        <v>1</v>
      </c>
      <c r="D95" s="40">
        <v>0</v>
      </c>
      <c r="E95" s="40"/>
      <c r="F95" s="55">
        <v>238</v>
      </c>
      <c r="G95" s="55"/>
      <c r="H95" s="57">
        <v>0</v>
      </c>
      <c r="I95" s="57">
        <v>0</v>
      </c>
      <c r="J95" s="57"/>
      <c r="K95" s="40"/>
      <c r="L95" s="40"/>
      <c r="M95" s="40"/>
      <c r="N95" s="40">
        <v>0</v>
      </c>
      <c r="O95" s="42">
        <v>43238</v>
      </c>
      <c r="P95" s="64">
        <f t="shared" si="32"/>
        <v>238</v>
      </c>
      <c r="Q95" s="39">
        <v>4</v>
      </c>
      <c r="R95" s="39">
        <v>1</v>
      </c>
      <c r="S95" s="39">
        <v>0</v>
      </c>
      <c r="T95" s="39">
        <v>93</v>
      </c>
      <c r="U95" s="39">
        <v>1</v>
      </c>
      <c r="V95" s="39">
        <v>1</v>
      </c>
      <c r="W95" s="39">
        <v>0</v>
      </c>
      <c r="X95" s="39">
        <v>1</v>
      </c>
      <c r="Y95" s="39">
        <v>0</v>
      </c>
      <c r="Z95" s="39">
        <v>0</v>
      </c>
      <c r="AA95" s="39">
        <v>0</v>
      </c>
      <c r="AB95" s="39">
        <v>0</v>
      </c>
      <c r="AC95" s="39">
        <v>0</v>
      </c>
      <c r="AD95" s="39">
        <v>0</v>
      </c>
      <c r="AE95" s="39">
        <v>0</v>
      </c>
      <c r="AF95" s="39">
        <v>0</v>
      </c>
      <c r="AG95" s="39">
        <v>0</v>
      </c>
      <c r="AH95" s="39">
        <v>0</v>
      </c>
      <c r="AI95" s="39">
        <v>0</v>
      </c>
      <c r="AJ95" s="39">
        <v>0</v>
      </c>
      <c r="AK95" s="39">
        <v>0</v>
      </c>
      <c r="AL95" s="39">
        <v>0</v>
      </c>
      <c r="AM95" s="39">
        <v>0</v>
      </c>
      <c r="AN95" s="39">
        <v>135</v>
      </c>
      <c r="AO95" s="39">
        <v>170</v>
      </c>
      <c r="AP95" s="39">
        <v>46.7</v>
      </c>
      <c r="AQ95" s="39">
        <v>36.9</v>
      </c>
      <c r="AR95" s="39">
        <v>131</v>
      </c>
      <c r="AS95" s="39">
        <v>89</v>
      </c>
      <c r="AT95" s="39">
        <v>3</v>
      </c>
      <c r="AU95">
        <v>1</v>
      </c>
      <c r="AV95" s="39">
        <v>94</v>
      </c>
      <c r="AW95" s="43">
        <v>42999</v>
      </c>
      <c r="AX95" s="43">
        <v>43000</v>
      </c>
      <c r="AY95" s="39">
        <v>0</v>
      </c>
      <c r="AZ95" s="43">
        <v>42999</v>
      </c>
      <c r="BA95" s="39">
        <v>1</v>
      </c>
      <c r="BB95" s="39">
        <v>1</v>
      </c>
      <c r="BC95" s="39">
        <v>0</v>
      </c>
      <c r="BD95" s="39">
        <v>1</v>
      </c>
      <c r="BE95" s="39">
        <v>0</v>
      </c>
      <c r="BF95" s="39">
        <v>0</v>
      </c>
      <c r="BG95" s="39">
        <v>0</v>
      </c>
      <c r="BH95" s="39">
        <v>1</v>
      </c>
      <c r="BI95" s="39">
        <v>0</v>
      </c>
      <c r="BJ95">
        <v>0</v>
      </c>
      <c r="BK95">
        <v>0</v>
      </c>
      <c r="BL95">
        <v>0</v>
      </c>
      <c r="BM95" s="66">
        <v>0</v>
      </c>
      <c r="BN95">
        <v>0</v>
      </c>
      <c r="BO95">
        <v>0</v>
      </c>
      <c r="BP95" s="66">
        <f t="shared" si="51"/>
        <v>0</v>
      </c>
      <c r="BQ95">
        <v>0</v>
      </c>
      <c r="BR95">
        <v>0</v>
      </c>
      <c r="BS95">
        <v>0</v>
      </c>
      <c r="BT95">
        <v>0</v>
      </c>
      <c r="BU95" s="66">
        <f t="shared" si="52"/>
        <v>0</v>
      </c>
      <c r="BV95">
        <v>0</v>
      </c>
      <c r="BW95">
        <v>0</v>
      </c>
      <c r="BX95" s="66">
        <f t="shared" si="33"/>
        <v>0</v>
      </c>
      <c r="BY95">
        <v>0</v>
      </c>
      <c r="BZ95">
        <f t="shared" si="34"/>
        <v>0</v>
      </c>
      <c r="CA95" s="39">
        <v>0</v>
      </c>
      <c r="CD95" s="39">
        <v>0</v>
      </c>
      <c r="CE95" s="39">
        <v>0</v>
      </c>
      <c r="CF95" s="39">
        <v>0</v>
      </c>
      <c r="CG95" s="39">
        <v>0</v>
      </c>
      <c r="CH95" s="39">
        <v>1</v>
      </c>
      <c r="CI95" s="39">
        <v>0</v>
      </c>
      <c r="CJ95" s="39">
        <v>0</v>
      </c>
      <c r="CK95" s="39">
        <v>0</v>
      </c>
      <c r="CL95" s="39">
        <v>1</v>
      </c>
      <c r="CM95" s="39">
        <v>0</v>
      </c>
      <c r="CN95" s="39">
        <v>0</v>
      </c>
      <c r="CO95">
        <v>1</v>
      </c>
      <c r="CP95" s="39">
        <v>0</v>
      </c>
      <c r="CQ95" s="39">
        <v>0</v>
      </c>
      <c r="CR95" s="39">
        <v>0</v>
      </c>
      <c r="CS95" s="39">
        <v>0</v>
      </c>
      <c r="CT95" s="39">
        <v>0</v>
      </c>
      <c r="CW95" s="31"/>
      <c r="CX95" s="39">
        <v>0</v>
      </c>
      <c r="CY95">
        <v>0</v>
      </c>
      <c r="DA95" s="43">
        <v>43000</v>
      </c>
      <c r="DB95" s="66">
        <f t="shared" si="35"/>
        <v>1</v>
      </c>
      <c r="DC95" s="39" t="s">
        <v>1</v>
      </c>
      <c r="DD95" s="39">
        <v>0</v>
      </c>
      <c r="DE95" s="43">
        <v>43013</v>
      </c>
      <c r="DF95" s="39">
        <v>14</v>
      </c>
      <c r="DG95" s="43">
        <v>43000</v>
      </c>
      <c r="DH95" s="39">
        <v>14</v>
      </c>
      <c r="DI95" s="39">
        <v>8</v>
      </c>
      <c r="DJ95" s="39">
        <v>1.7</v>
      </c>
      <c r="DK95" s="80">
        <v>246</v>
      </c>
      <c r="DL95" s="39">
        <v>5</v>
      </c>
      <c r="DM95" s="39">
        <v>85</v>
      </c>
      <c r="DN95" s="39">
        <v>5148</v>
      </c>
      <c r="DO95" s="39">
        <v>2</v>
      </c>
      <c r="DP95" s="39">
        <v>246</v>
      </c>
      <c r="DQ95" s="39">
        <v>5148</v>
      </c>
      <c r="DR95" s="39">
        <v>61</v>
      </c>
      <c r="DS95" s="39">
        <v>3.5</v>
      </c>
      <c r="DT95" s="39">
        <v>218</v>
      </c>
      <c r="DU95" s="39">
        <v>60</v>
      </c>
      <c r="DW95" s="43">
        <v>42999</v>
      </c>
      <c r="DX95" s="39">
        <v>7</v>
      </c>
      <c r="DY95" s="39">
        <v>11.8</v>
      </c>
      <c r="DZ95">
        <v>0</v>
      </c>
      <c r="EA95" s="39">
        <v>11.8</v>
      </c>
      <c r="EB95">
        <v>0</v>
      </c>
      <c r="EC95" s="39">
        <v>1</v>
      </c>
      <c r="ED95">
        <f>EF95</f>
        <v>1.7</v>
      </c>
      <c r="EE95">
        <v>1</v>
      </c>
      <c r="EF95" s="39">
        <v>1.7</v>
      </c>
      <c r="EG95">
        <v>0</v>
      </c>
      <c r="EH95" s="39">
        <v>50</v>
      </c>
      <c r="EI95" s="62">
        <v>3.4</v>
      </c>
      <c r="EJ95" s="39">
        <v>170</v>
      </c>
      <c r="EK95">
        <v>0</v>
      </c>
      <c r="EL95">
        <f t="shared" si="36"/>
        <v>120</v>
      </c>
      <c r="EM95" s="39">
        <v>190</v>
      </c>
      <c r="EN95">
        <v>0</v>
      </c>
      <c r="EO95" s="39">
        <v>7.0000000000000007E-2</v>
      </c>
      <c r="EP95" s="39">
        <v>0.15</v>
      </c>
      <c r="ER95" s="39">
        <v>23</v>
      </c>
      <c r="ES95" s="39">
        <v>25</v>
      </c>
      <c r="ET95" s="39">
        <v>21</v>
      </c>
      <c r="EU95" s="39">
        <v>20</v>
      </c>
      <c r="EV95" s="39">
        <v>49</v>
      </c>
      <c r="EW95" s="39">
        <v>85</v>
      </c>
      <c r="EX95" s="39">
        <v>9</v>
      </c>
      <c r="EY95" s="39">
        <v>4</v>
      </c>
      <c r="FC95" s="39">
        <v>1</v>
      </c>
      <c r="FD95" s="39">
        <v>0</v>
      </c>
      <c r="FF95" s="39">
        <v>1</v>
      </c>
      <c r="FG95">
        <v>1</v>
      </c>
      <c r="FH95" s="43">
        <v>43001</v>
      </c>
      <c r="FI95" s="43"/>
      <c r="FJ95" s="43"/>
      <c r="FK95">
        <v>0</v>
      </c>
      <c r="FL95">
        <v>0</v>
      </c>
      <c r="FM95"/>
      <c r="FN95"/>
      <c r="FO95">
        <v>0</v>
      </c>
      <c r="FQ95" s="44">
        <v>43000</v>
      </c>
      <c r="FR95" s="44" t="s">
        <v>231</v>
      </c>
      <c r="FS95" s="45">
        <v>1</v>
      </c>
      <c r="FT95" s="45">
        <v>1</v>
      </c>
      <c r="FU95" s="45">
        <v>1</v>
      </c>
      <c r="FV95" s="45">
        <v>0</v>
      </c>
      <c r="FW95" s="45">
        <v>1</v>
      </c>
      <c r="FX95" s="45">
        <v>0</v>
      </c>
      <c r="FY95" s="45">
        <v>0</v>
      </c>
      <c r="FZ95" s="45">
        <v>0</v>
      </c>
      <c r="GA95" s="45">
        <v>0</v>
      </c>
      <c r="GB95" s="45">
        <v>1</v>
      </c>
      <c r="GC95" s="45">
        <v>1</v>
      </c>
      <c r="GD95" s="45">
        <v>1</v>
      </c>
      <c r="GE95" s="45">
        <v>0</v>
      </c>
      <c r="GF95" s="45">
        <v>0</v>
      </c>
      <c r="GG95" s="45">
        <v>0</v>
      </c>
      <c r="GH95" s="45">
        <v>0</v>
      </c>
      <c r="GI95" s="45">
        <v>1</v>
      </c>
      <c r="GJ95" s="45">
        <v>0</v>
      </c>
      <c r="GK95" s="45">
        <v>0</v>
      </c>
      <c r="GL95" s="45">
        <v>1</v>
      </c>
      <c r="GM95" s="45">
        <v>0</v>
      </c>
      <c r="GN95" s="45">
        <v>0</v>
      </c>
      <c r="GO95" s="45">
        <v>0</v>
      </c>
      <c r="GP95" s="45">
        <v>0</v>
      </c>
      <c r="GQ95" s="45">
        <v>0</v>
      </c>
      <c r="GR95" s="45">
        <v>0</v>
      </c>
      <c r="GS95" s="45">
        <v>0</v>
      </c>
      <c r="GT95" s="45">
        <v>0</v>
      </c>
      <c r="GU95" s="45">
        <v>1</v>
      </c>
      <c r="GV95" s="45">
        <v>0</v>
      </c>
      <c r="GW95" s="45">
        <v>0</v>
      </c>
      <c r="GX95" s="45">
        <v>0</v>
      </c>
      <c r="GY95" s="15">
        <v>0</v>
      </c>
      <c r="GZ95" s="15">
        <v>0</v>
      </c>
      <c r="HA95" s="45">
        <v>0</v>
      </c>
      <c r="HB95" s="45">
        <v>1</v>
      </c>
      <c r="HC95" s="45">
        <v>0</v>
      </c>
      <c r="HD95" s="45">
        <v>0</v>
      </c>
      <c r="HE95" s="15">
        <v>0</v>
      </c>
      <c r="HF95" s="15">
        <v>0</v>
      </c>
      <c r="HG95" s="45">
        <v>0</v>
      </c>
      <c r="HH95" s="45">
        <v>1</v>
      </c>
      <c r="HI95" s="45">
        <v>1</v>
      </c>
      <c r="HJ95" s="45">
        <v>1</v>
      </c>
      <c r="HK95" s="45">
        <v>1</v>
      </c>
      <c r="HL95" s="45">
        <v>1</v>
      </c>
      <c r="HM95" s="45">
        <v>0</v>
      </c>
      <c r="HN95" s="45">
        <v>1</v>
      </c>
      <c r="HO95" s="45">
        <v>1</v>
      </c>
      <c r="HP95" s="45">
        <v>0</v>
      </c>
      <c r="HQ95" s="45">
        <v>0</v>
      </c>
      <c r="HR95" s="45">
        <v>0</v>
      </c>
      <c r="HS95" s="45">
        <v>0</v>
      </c>
      <c r="HT95" s="45">
        <v>1</v>
      </c>
      <c r="HU95" s="45">
        <v>1</v>
      </c>
      <c r="HV95" s="45">
        <v>0</v>
      </c>
      <c r="HW95" s="45">
        <v>0</v>
      </c>
      <c r="HX95" s="45">
        <v>0</v>
      </c>
      <c r="HY95" s="44">
        <v>43003</v>
      </c>
      <c r="HZ95" s="45" t="s">
        <v>231</v>
      </c>
      <c r="IA95" s="45">
        <v>0</v>
      </c>
      <c r="IB95" s="45">
        <v>0</v>
      </c>
      <c r="IC95" s="45">
        <v>1</v>
      </c>
      <c r="ID95" s="45">
        <v>0</v>
      </c>
      <c r="IE95" s="45">
        <v>1</v>
      </c>
      <c r="IF95" s="45">
        <v>0</v>
      </c>
      <c r="IG95" s="45">
        <v>0</v>
      </c>
      <c r="IH95" s="45">
        <v>0</v>
      </c>
      <c r="II95" s="45">
        <v>0</v>
      </c>
      <c r="IJ95" s="45">
        <v>0</v>
      </c>
      <c r="IK95" s="45">
        <v>1</v>
      </c>
      <c r="IL95" s="45">
        <v>1</v>
      </c>
      <c r="IM95" s="45">
        <v>0</v>
      </c>
      <c r="IN95" s="45">
        <v>0</v>
      </c>
      <c r="IO95" s="45">
        <v>0</v>
      </c>
      <c r="IP95" s="45">
        <v>0</v>
      </c>
      <c r="IQ95" s="45">
        <v>1</v>
      </c>
      <c r="IR95" s="45">
        <v>0</v>
      </c>
      <c r="IS95" s="45">
        <v>0</v>
      </c>
      <c r="IT95" s="45">
        <v>1</v>
      </c>
      <c r="IU95" s="45">
        <v>0</v>
      </c>
      <c r="IV95" s="45">
        <v>0</v>
      </c>
      <c r="IW95" s="45">
        <v>0</v>
      </c>
      <c r="IX95" s="45">
        <v>0</v>
      </c>
      <c r="IY95" s="45">
        <v>0</v>
      </c>
      <c r="IZ95" s="45">
        <v>0</v>
      </c>
      <c r="JA95" s="45">
        <v>0</v>
      </c>
      <c r="JB95" s="45">
        <v>0</v>
      </c>
      <c r="JC95" s="45">
        <v>1</v>
      </c>
      <c r="JD95" s="45">
        <v>0</v>
      </c>
      <c r="JE95" s="45">
        <v>0</v>
      </c>
      <c r="JF95" s="45">
        <v>0</v>
      </c>
      <c r="JG95" s="15">
        <v>0</v>
      </c>
      <c r="JH95" s="15">
        <v>0</v>
      </c>
      <c r="JI95" s="45">
        <v>0</v>
      </c>
      <c r="JJ95" s="45">
        <v>1</v>
      </c>
      <c r="JK95" s="45">
        <v>0</v>
      </c>
      <c r="JL95" s="45">
        <v>0</v>
      </c>
      <c r="JM95" s="15">
        <v>0</v>
      </c>
      <c r="JN95" s="15">
        <v>0</v>
      </c>
      <c r="JO95" s="45">
        <v>0</v>
      </c>
      <c r="JP95" s="45">
        <v>1</v>
      </c>
      <c r="JQ95" s="45">
        <v>1</v>
      </c>
      <c r="JR95" s="45">
        <v>0</v>
      </c>
      <c r="JS95" s="45">
        <v>0</v>
      </c>
      <c r="JT95" s="45">
        <v>1</v>
      </c>
      <c r="JU95" s="45"/>
      <c r="JV95" s="45">
        <v>1</v>
      </c>
      <c r="JW95" s="45">
        <v>1</v>
      </c>
      <c r="JX95" s="45">
        <v>0</v>
      </c>
      <c r="JY95" s="45">
        <v>0</v>
      </c>
      <c r="JZ95" s="45">
        <v>0</v>
      </c>
      <c r="KA95" s="45">
        <v>0</v>
      </c>
      <c r="KB95" s="45">
        <v>1</v>
      </c>
      <c r="KC95" s="45">
        <v>1</v>
      </c>
      <c r="KD95" s="45">
        <v>0</v>
      </c>
      <c r="KE95" s="45">
        <v>0</v>
      </c>
      <c r="KF95" s="45">
        <v>0</v>
      </c>
      <c r="KG95"/>
      <c r="KH95"/>
      <c r="KI95">
        <v>1</v>
      </c>
      <c r="KJ95">
        <v>1</v>
      </c>
      <c r="KK95">
        <v>1</v>
      </c>
      <c r="KL95">
        <v>0</v>
      </c>
      <c r="KM95">
        <v>1</v>
      </c>
      <c r="KN95">
        <v>0</v>
      </c>
      <c r="KO95">
        <v>0</v>
      </c>
      <c r="KP95">
        <v>0</v>
      </c>
      <c r="KQ95">
        <v>0</v>
      </c>
      <c r="KR95">
        <v>1</v>
      </c>
      <c r="KS95">
        <v>1</v>
      </c>
      <c r="KT95">
        <v>1</v>
      </c>
      <c r="KU95">
        <v>0</v>
      </c>
      <c r="KV95">
        <v>0</v>
      </c>
      <c r="KW95">
        <v>0</v>
      </c>
      <c r="KX95">
        <v>0</v>
      </c>
      <c r="KY95">
        <v>1</v>
      </c>
      <c r="KZ95">
        <v>0</v>
      </c>
      <c r="LA95">
        <v>0</v>
      </c>
      <c r="LB95">
        <v>1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1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1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0</v>
      </c>
      <c r="MD95">
        <v>1</v>
      </c>
      <c r="ME95">
        <v>1</v>
      </c>
      <c r="MF95">
        <v>0</v>
      </c>
      <c r="MG95">
        <v>0</v>
      </c>
      <c r="MH95">
        <v>0</v>
      </c>
      <c r="MI95">
        <v>0</v>
      </c>
      <c r="MJ95">
        <v>1</v>
      </c>
      <c r="MK95">
        <v>1</v>
      </c>
      <c r="ML95">
        <v>0</v>
      </c>
      <c r="MM95">
        <v>0</v>
      </c>
      <c r="MN95">
        <v>0</v>
      </c>
      <c r="MO95">
        <v>1</v>
      </c>
      <c r="MP95">
        <v>0</v>
      </c>
      <c r="MQ95">
        <v>1</v>
      </c>
      <c r="MR95">
        <v>1</v>
      </c>
      <c r="MS95">
        <v>0</v>
      </c>
      <c r="MT95">
        <v>1</v>
      </c>
    </row>
    <row r="96" spans="1:358" s="39" customFormat="1" ht="18" x14ac:dyDescent="0.25">
      <c r="A96" t="s">
        <v>488</v>
      </c>
      <c r="B96" s="40">
        <v>58</v>
      </c>
      <c r="C96" s="40">
        <v>0</v>
      </c>
      <c r="D96" s="40">
        <v>1</v>
      </c>
      <c r="E96" s="41">
        <v>42479</v>
      </c>
      <c r="F96" s="61">
        <v>25</v>
      </c>
      <c r="G96" s="61"/>
      <c r="H96" s="58">
        <v>1</v>
      </c>
      <c r="I96" s="57">
        <v>1</v>
      </c>
      <c r="J96" s="58">
        <v>1</v>
      </c>
      <c r="K96" s="42">
        <v>42479</v>
      </c>
      <c r="L96" s="65">
        <v>1</v>
      </c>
      <c r="M96" s="40"/>
      <c r="N96" s="40">
        <v>1</v>
      </c>
      <c r="O96" s="42">
        <v>42542</v>
      </c>
      <c r="P96" s="64">
        <f t="shared" si="32"/>
        <v>88</v>
      </c>
      <c r="Q96" s="39">
        <v>1</v>
      </c>
      <c r="R96" s="39">
        <v>1</v>
      </c>
      <c r="S96" s="39">
        <v>1</v>
      </c>
      <c r="T96" s="39">
        <v>75</v>
      </c>
      <c r="U96" s="39">
        <v>0</v>
      </c>
      <c r="V96" s="39">
        <v>1</v>
      </c>
      <c r="W96" s="39">
        <v>1</v>
      </c>
      <c r="X96" s="39">
        <v>0</v>
      </c>
      <c r="Y96" s="39">
        <v>0</v>
      </c>
      <c r="Z96" s="39">
        <v>1</v>
      </c>
      <c r="AA96" s="39">
        <v>1</v>
      </c>
      <c r="AB96" s="39">
        <v>0</v>
      </c>
      <c r="AC96" s="39">
        <v>1</v>
      </c>
      <c r="AD96" s="39">
        <v>0</v>
      </c>
      <c r="AE96" s="39">
        <v>0</v>
      </c>
      <c r="AF96" s="39">
        <v>1</v>
      </c>
      <c r="AG96" s="39">
        <v>0</v>
      </c>
      <c r="AH96" s="39">
        <v>0</v>
      </c>
      <c r="AI96" s="39">
        <v>0</v>
      </c>
      <c r="AJ96" s="39">
        <v>0</v>
      </c>
      <c r="AK96" s="39">
        <v>0</v>
      </c>
      <c r="AL96" s="39">
        <v>0</v>
      </c>
      <c r="AM96" s="39">
        <v>0</v>
      </c>
      <c r="AN96" s="39">
        <v>110</v>
      </c>
      <c r="AO96" s="39">
        <v>175</v>
      </c>
      <c r="AP96" s="39">
        <v>35.9</v>
      </c>
      <c r="AQ96" s="39">
        <v>36</v>
      </c>
      <c r="AR96" s="39">
        <v>148</v>
      </c>
      <c r="AS96" s="39">
        <v>94</v>
      </c>
      <c r="AT96" s="39">
        <v>3</v>
      </c>
      <c r="AU96">
        <v>1</v>
      </c>
      <c r="AV96" s="39">
        <v>85</v>
      </c>
      <c r="AW96" s="43">
        <v>42454</v>
      </c>
      <c r="AX96" s="43">
        <v>42454</v>
      </c>
      <c r="AY96" s="39">
        <v>0</v>
      </c>
      <c r="AZ96" s="43">
        <v>42451</v>
      </c>
      <c r="BA96" s="39">
        <v>1</v>
      </c>
      <c r="BB96" s="39">
        <v>1</v>
      </c>
      <c r="BC96" s="39">
        <v>1</v>
      </c>
      <c r="BD96" s="39">
        <v>0</v>
      </c>
      <c r="BE96" s="39">
        <v>0</v>
      </c>
      <c r="BF96" s="39">
        <v>0</v>
      </c>
      <c r="BG96" s="39">
        <v>0</v>
      </c>
      <c r="BH96" s="39">
        <v>1</v>
      </c>
      <c r="BI96" s="39">
        <v>1</v>
      </c>
      <c r="BJ96" s="78">
        <v>0</v>
      </c>
      <c r="BK96" s="78">
        <v>0</v>
      </c>
      <c r="BL96" s="78">
        <v>0</v>
      </c>
      <c r="BM96" s="78">
        <v>2</v>
      </c>
      <c r="BN96" s="78">
        <v>0</v>
      </c>
      <c r="BO96" s="78">
        <v>2</v>
      </c>
      <c r="BP96" s="78">
        <v>4</v>
      </c>
      <c r="BQ96" s="78">
        <v>1</v>
      </c>
      <c r="BR96" s="78">
        <v>3</v>
      </c>
      <c r="BS96" s="78">
        <v>3</v>
      </c>
      <c r="BT96" s="78">
        <v>2</v>
      </c>
      <c r="BU96" s="78">
        <v>2</v>
      </c>
      <c r="BV96" s="78">
        <v>1</v>
      </c>
      <c r="BW96" s="78">
        <v>2</v>
      </c>
      <c r="BX96" s="66">
        <f t="shared" si="33"/>
        <v>13</v>
      </c>
      <c r="BY96" s="78">
        <v>1</v>
      </c>
      <c r="BZ96">
        <v>1</v>
      </c>
      <c r="CA96" s="39">
        <v>0</v>
      </c>
      <c r="CD96" s="39">
        <v>0</v>
      </c>
      <c r="CE96" s="39">
        <v>0</v>
      </c>
      <c r="CF96" s="39">
        <v>0</v>
      </c>
      <c r="CG96" s="39">
        <v>0</v>
      </c>
      <c r="CH96" s="39">
        <v>0</v>
      </c>
      <c r="CI96" s="39">
        <v>0</v>
      </c>
      <c r="CJ96" s="39">
        <v>0</v>
      </c>
      <c r="CK96" s="39">
        <v>0</v>
      </c>
      <c r="CL96" s="39">
        <v>0</v>
      </c>
      <c r="CM96" s="39">
        <v>0</v>
      </c>
      <c r="CN96" s="39">
        <v>0</v>
      </c>
      <c r="CO96">
        <f t="shared" si="39"/>
        <v>0</v>
      </c>
      <c r="CP96" s="39">
        <v>0</v>
      </c>
      <c r="CQ96" s="39">
        <v>1</v>
      </c>
      <c r="CR96" s="39">
        <v>1</v>
      </c>
      <c r="CS96" s="39">
        <v>0</v>
      </c>
      <c r="CT96" s="39">
        <v>0</v>
      </c>
      <c r="CU96" s="39">
        <v>0</v>
      </c>
      <c r="CV96" s="39">
        <v>0</v>
      </c>
      <c r="CW96" s="31"/>
      <c r="CX96" s="39">
        <v>0</v>
      </c>
      <c r="CY96">
        <v>0</v>
      </c>
      <c r="DA96" s="43">
        <v>42454</v>
      </c>
      <c r="DB96" s="66">
        <f t="shared" si="35"/>
        <v>3</v>
      </c>
      <c r="DC96" s="39" t="s">
        <v>1</v>
      </c>
      <c r="DD96" s="39">
        <v>0</v>
      </c>
      <c r="DE96" s="43">
        <v>42459</v>
      </c>
      <c r="DF96" s="39">
        <v>5</v>
      </c>
      <c r="DG96" s="43">
        <v>42454</v>
      </c>
      <c r="DH96" s="39">
        <v>12</v>
      </c>
      <c r="DI96" s="39">
        <v>7.3</v>
      </c>
      <c r="DJ96" s="39">
        <v>0.4</v>
      </c>
      <c r="DK96" s="80">
        <v>52</v>
      </c>
      <c r="DL96" s="39">
        <v>3</v>
      </c>
      <c r="DM96" s="39">
        <v>85</v>
      </c>
      <c r="DO96" s="39">
        <v>2</v>
      </c>
      <c r="DP96" s="39">
        <v>53</v>
      </c>
      <c r="DR96" s="39">
        <v>88</v>
      </c>
      <c r="DS96" s="39">
        <v>12.1</v>
      </c>
      <c r="DT96" s="39">
        <v>283</v>
      </c>
      <c r="DU96" s="39">
        <v>47</v>
      </c>
      <c r="DW96" s="43">
        <v>42454</v>
      </c>
      <c r="DX96" s="39">
        <v>9</v>
      </c>
      <c r="DY96" s="39">
        <v>10.8</v>
      </c>
      <c r="DZ96">
        <v>0</v>
      </c>
      <c r="EA96" s="39">
        <v>9</v>
      </c>
      <c r="EB96">
        <v>0</v>
      </c>
      <c r="EC96" s="39">
        <v>2</v>
      </c>
      <c r="ED96" s="39">
        <v>2.36</v>
      </c>
      <c r="EE96">
        <v>1</v>
      </c>
      <c r="EF96" s="39">
        <v>2.94</v>
      </c>
      <c r="EG96">
        <v>1</v>
      </c>
      <c r="EI96"/>
      <c r="EL96"/>
      <c r="EO96" s="39">
        <v>0.79</v>
      </c>
      <c r="ER96" s="39">
        <v>22</v>
      </c>
      <c r="ES96" s="39">
        <v>21</v>
      </c>
      <c r="ET96" s="39">
        <v>30</v>
      </c>
      <c r="EU96" s="39">
        <v>14</v>
      </c>
      <c r="EV96" s="39">
        <v>115</v>
      </c>
      <c r="EW96" s="39">
        <v>117</v>
      </c>
      <c r="EX96" s="39">
        <v>52</v>
      </c>
      <c r="EY96" s="39">
        <v>20</v>
      </c>
      <c r="FC96" s="39">
        <v>1</v>
      </c>
      <c r="FD96" s="39">
        <v>0</v>
      </c>
      <c r="FF96" s="39">
        <v>1</v>
      </c>
      <c r="FG96">
        <v>1</v>
      </c>
      <c r="FH96" s="43">
        <v>42505</v>
      </c>
      <c r="FI96" s="43"/>
      <c r="FJ96" s="43"/>
      <c r="FK96" s="39">
        <v>0</v>
      </c>
      <c r="FL96">
        <v>0</v>
      </c>
      <c r="FM96"/>
      <c r="FN96"/>
      <c r="FO96">
        <v>0</v>
      </c>
      <c r="FQ96" s="44">
        <v>42452</v>
      </c>
      <c r="FR96" s="44" t="s">
        <v>230</v>
      </c>
      <c r="FS96" s="45">
        <v>1</v>
      </c>
      <c r="FT96" s="45">
        <v>0</v>
      </c>
      <c r="FU96" s="45">
        <v>1</v>
      </c>
      <c r="FV96" s="45">
        <v>0</v>
      </c>
      <c r="FW96" s="45">
        <v>1</v>
      </c>
      <c r="FX96" s="45">
        <v>0</v>
      </c>
      <c r="FY96" s="45">
        <v>0</v>
      </c>
      <c r="FZ96" s="45">
        <v>0</v>
      </c>
      <c r="GA96" s="45">
        <v>0</v>
      </c>
      <c r="GB96" s="45">
        <v>1</v>
      </c>
      <c r="GC96" s="45">
        <v>1</v>
      </c>
      <c r="GD96" s="45">
        <v>1</v>
      </c>
      <c r="GE96" s="45">
        <v>1</v>
      </c>
      <c r="GF96" s="45">
        <v>0</v>
      </c>
      <c r="GG96" s="45">
        <v>0</v>
      </c>
      <c r="GH96" s="45">
        <v>0</v>
      </c>
      <c r="GI96" s="45">
        <v>0</v>
      </c>
      <c r="GJ96" s="45">
        <v>1</v>
      </c>
      <c r="GK96" s="45">
        <v>0</v>
      </c>
      <c r="GL96" s="45">
        <v>0</v>
      </c>
      <c r="GM96" s="45">
        <v>1</v>
      </c>
      <c r="GN96" s="45">
        <v>0</v>
      </c>
      <c r="GO96" s="45">
        <v>0</v>
      </c>
      <c r="GP96" s="45">
        <v>0</v>
      </c>
      <c r="GQ96" s="45">
        <v>0</v>
      </c>
      <c r="GR96" s="45">
        <v>0</v>
      </c>
      <c r="GS96" s="45">
        <v>0</v>
      </c>
      <c r="GT96" s="45">
        <v>1</v>
      </c>
      <c r="GU96" s="45">
        <v>1</v>
      </c>
      <c r="GV96" s="45">
        <v>0</v>
      </c>
      <c r="GW96" s="45">
        <v>0</v>
      </c>
      <c r="GX96" s="45">
        <v>0</v>
      </c>
      <c r="GY96" s="15">
        <v>0</v>
      </c>
      <c r="GZ96" s="15">
        <v>0</v>
      </c>
      <c r="HA96" s="45">
        <v>0</v>
      </c>
      <c r="HB96" s="45">
        <v>1</v>
      </c>
      <c r="HC96" s="45">
        <v>0</v>
      </c>
      <c r="HD96" s="45">
        <v>0</v>
      </c>
      <c r="HE96" s="15">
        <v>0</v>
      </c>
      <c r="HF96" s="15">
        <v>0</v>
      </c>
      <c r="HG96" s="45">
        <v>0</v>
      </c>
      <c r="HH96" s="45">
        <v>1</v>
      </c>
      <c r="HI96" s="45">
        <v>1</v>
      </c>
      <c r="HJ96" s="45">
        <v>1</v>
      </c>
      <c r="HK96" s="45">
        <v>0</v>
      </c>
      <c r="HL96" s="45">
        <v>1</v>
      </c>
      <c r="HM96" s="45">
        <v>0</v>
      </c>
      <c r="HN96" s="45">
        <v>1</v>
      </c>
      <c r="HO96" s="45">
        <v>1</v>
      </c>
      <c r="HP96" s="45">
        <v>0</v>
      </c>
      <c r="HQ96" s="45">
        <v>0</v>
      </c>
      <c r="HR96" s="45">
        <v>0</v>
      </c>
      <c r="HS96" s="45">
        <v>0</v>
      </c>
      <c r="HT96" s="45">
        <v>1</v>
      </c>
      <c r="HU96" s="45">
        <v>1</v>
      </c>
      <c r="HV96" s="45">
        <v>0</v>
      </c>
      <c r="HW96" s="45">
        <v>1</v>
      </c>
      <c r="HX96" s="45">
        <v>0</v>
      </c>
      <c r="HY96" s="44">
        <v>42471</v>
      </c>
      <c r="HZ96" s="45" t="s">
        <v>230</v>
      </c>
      <c r="IA96" s="45">
        <v>1</v>
      </c>
      <c r="IB96" s="45">
        <v>0</v>
      </c>
      <c r="IC96" s="45">
        <v>1</v>
      </c>
      <c r="ID96" s="45">
        <v>0</v>
      </c>
      <c r="IE96" s="45">
        <v>1</v>
      </c>
      <c r="IF96" s="45">
        <v>0</v>
      </c>
      <c r="IG96" s="45">
        <v>0</v>
      </c>
      <c r="IH96" s="45">
        <v>0</v>
      </c>
      <c r="II96" s="45">
        <v>0</v>
      </c>
      <c r="IJ96" s="45">
        <v>0</v>
      </c>
      <c r="IK96" s="45">
        <v>0</v>
      </c>
      <c r="IL96" s="45">
        <v>0</v>
      </c>
      <c r="IM96" s="45">
        <v>0</v>
      </c>
      <c r="IN96" s="45">
        <v>0</v>
      </c>
      <c r="IO96" s="45">
        <v>0</v>
      </c>
      <c r="IP96" s="45">
        <v>0</v>
      </c>
      <c r="IQ96" s="45">
        <v>0</v>
      </c>
      <c r="IR96" s="45">
        <v>1</v>
      </c>
      <c r="IS96" s="45">
        <v>0</v>
      </c>
      <c r="IT96" s="45">
        <v>0</v>
      </c>
      <c r="IU96" s="45">
        <v>1</v>
      </c>
      <c r="IV96" s="45">
        <v>0</v>
      </c>
      <c r="IW96" s="45">
        <v>0</v>
      </c>
      <c r="IX96" s="45">
        <v>0</v>
      </c>
      <c r="IY96" s="45">
        <v>0</v>
      </c>
      <c r="IZ96" s="45">
        <v>0</v>
      </c>
      <c r="JA96" s="45">
        <v>0</v>
      </c>
      <c r="JB96" s="45">
        <v>1</v>
      </c>
      <c r="JC96" s="45">
        <v>1</v>
      </c>
      <c r="JD96" s="45">
        <v>0</v>
      </c>
      <c r="JE96" s="45">
        <v>0</v>
      </c>
      <c r="JF96" s="45">
        <v>0</v>
      </c>
      <c r="JG96" s="15">
        <v>0</v>
      </c>
      <c r="JH96" s="15">
        <v>0</v>
      </c>
      <c r="JI96" s="45">
        <v>0</v>
      </c>
      <c r="JJ96" s="45">
        <v>1</v>
      </c>
      <c r="JK96" s="45">
        <v>0</v>
      </c>
      <c r="JL96" s="45">
        <v>0</v>
      </c>
      <c r="JM96" s="15">
        <v>0</v>
      </c>
      <c r="JN96" s="15">
        <v>0</v>
      </c>
      <c r="JO96" s="45">
        <v>0</v>
      </c>
      <c r="JP96" s="45">
        <v>1</v>
      </c>
      <c r="JQ96" s="45">
        <v>1</v>
      </c>
      <c r="JR96" s="45">
        <v>1</v>
      </c>
      <c r="JS96" s="45">
        <v>1</v>
      </c>
      <c r="JT96" s="45">
        <v>1</v>
      </c>
      <c r="JU96" s="45">
        <v>0</v>
      </c>
      <c r="JV96" s="45">
        <v>1</v>
      </c>
      <c r="JW96" s="45">
        <v>1</v>
      </c>
      <c r="JX96" s="45">
        <v>0</v>
      </c>
      <c r="JY96" s="45">
        <v>0</v>
      </c>
      <c r="JZ96" s="45">
        <v>0</v>
      </c>
      <c r="KA96" s="45">
        <v>0</v>
      </c>
      <c r="KB96" s="45">
        <v>1</v>
      </c>
      <c r="KC96" s="45">
        <v>1</v>
      </c>
      <c r="KD96" s="45">
        <v>0</v>
      </c>
      <c r="KE96" s="45">
        <v>1</v>
      </c>
      <c r="KF96" s="45">
        <v>0</v>
      </c>
      <c r="KG96"/>
      <c r="KH96"/>
      <c r="KI96">
        <v>1</v>
      </c>
      <c r="KJ96">
        <v>0</v>
      </c>
      <c r="KK96">
        <v>1</v>
      </c>
      <c r="KL96">
        <v>0</v>
      </c>
      <c r="KM96">
        <v>1</v>
      </c>
      <c r="KN96">
        <v>0</v>
      </c>
      <c r="KO96">
        <v>0</v>
      </c>
      <c r="KP96">
        <v>0</v>
      </c>
      <c r="KQ96">
        <v>0</v>
      </c>
      <c r="KR96">
        <v>1</v>
      </c>
      <c r="KS96">
        <v>1</v>
      </c>
      <c r="KT96">
        <v>1</v>
      </c>
      <c r="KU96">
        <v>1</v>
      </c>
      <c r="KV96">
        <v>0</v>
      </c>
      <c r="KW96">
        <v>0</v>
      </c>
      <c r="KX96">
        <v>0</v>
      </c>
      <c r="KY96">
        <v>0</v>
      </c>
      <c r="KZ96">
        <v>1</v>
      </c>
      <c r="LA96">
        <v>0</v>
      </c>
      <c r="LB96">
        <v>0</v>
      </c>
      <c r="LC96">
        <v>1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1</v>
      </c>
      <c r="LK96">
        <v>1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1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0</v>
      </c>
      <c r="MD96">
        <v>1</v>
      </c>
      <c r="ME96">
        <v>1</v>
      </c>
      <c r="MF96">
        <v>0</v>
      </c>
      <c r="MG96">
        <v>0</v>
      </c>
      <c r="MH96">
        <v>0</v>
      </c>
      <c r="MI96">
        <v>0</v>
      </c>
      <c r="MJ96">
        <v>1</v>
      </c>
      <c r="MK96">
        <v>1</v>
      </c>
      <c r="ML96">
        <v>0</v>
      </c>
      <c r="MM96">
        <v>1</v>
      </c>
      <c r="MN96">
        <v>0</v>
      </c>
      <c r="MO96">
        <v>1</v>
      </c>
      <c r="MP96">
        <v>0</v>
      </c>
      <c r="MQ96">
        <v>1</v>
      </c>
      <c r="MR96">
        <v>1</v>
      </c>
      <c r="MS96">
        <v>1</v>
      </c>
      <c r="MT96">
        <v>1</v>
      </c>
    </row>
    <row r="97" spans="68:92" x14ac:dyDescent="0.25">
      <c r="BP97" s="66"/>
      <c r="CE97">
        <f t="shared" ref="CE97:CG97" si="53">SUM(CE3:CE95)</f>
        <v>6</v>
      </c>
      <c r="CF97">
        <f t="shared" si="53"/>
        <v>8</v>
      </c>
      <c r="CG97">
        <f t="shared" si="53"/>
        <v>3</v>
      </c>
      <c r="CH97">
        <f>SUM(CH3:CH95)</f>
        <v>15</v>
      </c>
      <c r="CI97">
        <f t="shared" ref="CI97:CN97" si="54">SUM(CI3:CI95)</f>
        <v>7</v>
      </c>
      <c r="CJ97">
        <f t="shared" si="54"/>
        <v>9</v>
      </c>
      <c r="CK97">
        <f t="shared" si="54"/>
        <v>0</v>
      </c>
      <c r="CL97">
        <f t="shared" si="54"/>
        <v>9</v>
      </c>
      <c r="CM97">
        <f t="shared" si="54"/>
        <v>4</v>
      </c>
      <c r="CN97">
        <f t="shared" si="54"/>
        <v>2</v>
      </c>
    </row>
  </sheetData>
  <conditionalFormatting sqref="O98:P98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8:FJ98 B98:N98">
    <cfRule type="colorScale" priority="2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J7:BL7">
    <cfRule type="containsBlanks" dxfId="15" priority="18">
      <formula>LEN(TRIM(BJ7))=0</formula>
    </cfRule>
  </conditionalFormatting>
  <conditionalFormatting sqref="BJ16:BL16 BN16:BP16 BR16:BW16">
    <cfRule type="containsBlanks" dxfId="14" priority="16">
      <formula>LEN(TRIM(BJ16))=0</formula>
    </cfRule>
  </conditionalFormatting>
  <conditionalFormatting sqref="BJ33:BL33 BN33:BW33 BY33">
    <cfRule type="containsBlanks" dxfId="13" priority="15">
      <formula>LEN(TRIM(BJ33))=0</formula>
    </cfRule>
  </conditionalFormatting>
  <conditionalFormatting sqref="BJ36:BL36 BN36:BW36 BY36">
    <cfRule type="containsBlanks" dxfId="12" priority="14">
      <formula>LEN(TRIM(BJ36))=0</formula>
    </cfRule>
  </conditionalFormatting>
  <conditionalFormatting sqref="BJ47:BL47 BN47:BP47 BR47:BW47 BY47">
    <cfRule type="containsBlanks" dxfId="11" priority="13">
      <formula>LEN(TRIM(BJ47))=0</formula>
    </cfRule>
  </conditionalFormatting>
  <conditionalFormatting sqref="BJ50:BL50 BN50:BP50 BR50:BW50 BY50">
    <cfRule type="containsBlanks" dxfId="10" priority="12">
      <formula>LEN(TRIM(BJ50))=0</formula>
    </cfRule>
  </conditionalFormatting>
  <conditionalFormatting sqref="BJ58:BL58 BN58:BP58 BR58:BW58">
    <cfRule type="containsBlanks" dxfId="9" priority="11">
      <formula>LEN(TRIM(BJ58))=0</formula>
    </cfRule>
  </conditionalFormatting>
  <conditionalFormatting sqref="BJ63:BL63 BN63:BP63 BR63:BW63">
    <cfRule type="containsBlanks" dxfId="8" priority="10">
      <formula>LEN(TRIM(BJ63))=0</formula>
    </cfRule>
  </conditionalFormatting>
  <conditionalFormatting sqref="BJ69:BL69 BN69:BW69 BY69">
    <cfRule type="containsBlanks" dxfId="7" priority="9">
      <formula>LEN(TRIM(BJ69))=0</formula>
    </cfRule>
  </conditionalFormatting>
  <conditionalFormatting sqref="BJ74:BL75 BN75:BP75 BR75:BW75">
    <cfRule type="containsBlanks" dxfId="6" priority="7">
      <formula>LEN(TRIM(BJ74))=0</formula>
    </cfRule>
  </conditionalFormatting>
  <conditionalFormatting sqref="BJ83:BL83 BN83:BP83 BR83:BW83 BY83">
    <cfRule type="containsBlanks" dxfId="5" priority="6">
      <formula>LEN(TRIM(BJ83))=0</formula>
    </cfRule>
  </conditionalFormatting>
  <conditionalFormatting sqref="BJ89:BL90 BN89:BP90 BR89:BW90 BY90">
    <cfRule type="containsBlanks" dxfId="4" priority="4">
      <formula>LEN(TRIM(BJ89))=0</formula>
    </cfRule>
  </conditionalFormatting>
  <conditionalFormatting sqref="BJ92:BL92 BN92:BP92 BR92:BW92 BY92">
    <cfRule type="containsBlanks" dxfId="3" priority="3">
      <formula>LEN(TRIM(BJ92))=0</formula>
    </cfRule>
  </conditionalFormatting>
  <conditionalFormatting sqref="BJ96:BW96 BY96">
    <cfRule type="containsBlanks" dxfId="2" priority="2">
      <formula>LEN(TRIM(BJ96))=0</formula>
    </cfRule>
  </conditionalFormatting>
  <conditionalFormatting sqref="BN7:BW7 BY7">
    <cfRule type="containsBlanks" dxfId="1" priority="17">
      <formula>LEN(TRIM(BN7))=0</formula>
    </cfRule>
  </conditionalFormatting>
  <conditionalFormatting sqref="BN74:BW74 BY74">
    <cfRule type="containsBlanks" dxfId="0" priority="8">
      <formula>LEN(TRIM(BN74))=0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S4"/>
  <sheetViews>
    <sheetView workbookViewId="0">
      <selection activeCell="B5" sqref="B5"/>
    </sheetView>
  </sheetViews>
  <sheetFormatPr baseColWidth="10" defaultRowHeight="15.75" x14ac:dyDescent="0.25"/>
  <sheetData>
    <row r="1" spans="1:357" ht="54" x14ac:dyDescent="0.25">
      <c r="A1" s="5" t="s">
        <v>10</v>
      </c>
      <c r="B1" s="5" t="s">
        <v>11</v>
      </c>
      <c r="C1" s="5" t="s">
        <v>12</v>
      </c>
      <c r="D1" s="5" t="s">
        <v>13</v>
      </c>
      <c r="E1" s="13" t="s">
        <v>14</v>
      </c>
      <c r="F1" s="13" t="s">
        <v>15</v>
      </c>
      <c r="G1" s="13" t="s">
        <v>16</v>
      </c>
      <c r="H1" s="13" t="s">
        <v>237</v>
      </c>
      <c r="I1" s="60" t="s">
        <v>246</v>
      </c>
      <c r="J1" s="60" t="s">
        <v>382</v>
      </c>
      <c r="K1" s="54" t="s">
        <v>294</v>
      </c>
      <c r="L1" s="54" t="s">
        <v>245</v>
      </c>
      <c r="M1" s="13" t="s">
        <v>248</v>
      </c>
      <c r="N1" s="63" t="s">
        <v>247</v>
      </c>
      <c r="O1" s="13" t="s">
        <v>249</v>
      </c>
      <c r="P1" s="13" t="s">
        <v>18</v>
      </c>
      <c r="Q1" s="14" t="s">
        <v>250</v>
      </c>
      <c r="R1" s="71" t="s">
        <v>295</v>
      </c>
      <c r="S1" t="s">
        <v>29</v>
      </c>
      <c r="T1" t="s">
        <v>34</v>
      </c>
      <c r="U1" t="s">
        <v>30</v>
      </c>
      <c r="V1" t="s">
        <v>31</v>
      </c>
      <c r="W1" t="s">
        <v>32</v>
      </c>
      <c r="X1" t="s">
        <v>33</v>
      </c>
      <c r="Y1" t="s">
        <v>35</v>
      </c>
      <c r="Z1" t="s">
        <v>36</v>
      </c>
      <c r="AA1" t="s">
        <v>8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9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251</v>
      </c>
      <c r="AX1" t="s">
        <v>57</v>
      </c>
      <c r="AY1" t="s">
        <v>58</v>
      </c>
      <c r="AZ1" t="s">
        <v>59</v>
      </c>
      <c r="BA1" t="s">
        <v>112</v>
      </c>
      <c r="BB1" t="s">
        <v>113</v>
      </c>
      <c r="BC1" t="s">
        <v>60</v>
      </c>
      <c r="BD1" s="10" t="s">
        <v>102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s="74" t="s">
        <v>360</v>
      </c>
      <c r="BM1" s="74" t="s">
        <v>361</v>
      </c>
      <c r="BN1" s="74" t="s">
        <v>362</v>
      </c>
      <c r="BO1" s="75" t="s">
        <v>363</v>
      </c>
      <c r="BP1" s="75" t="s">
        <v>364</v>
      </c>
      <c r="BQ1" s="74" t="s">
        <v>365</v>
      </c>
      <c r="BR1" s="74" t="s">
        <v>366</v>
      </c>
      <c r="BS1" s="74" t="s">
        <v>374</v>
      </c>
      <c r="BT1" s="76" t="s">
        <v>367</v>
      </c>
      <c r="BU1" s="76" t="s">
        <v>368</v>
      </c>
      <c r="BV1" s="76" t="s">
        <v>369</v>
      </c>
      <c r="BW1" s="77" t="s">
        <v>370</v>
      </c>
      <c r="BX1" s="77" t="s">
        <v>371</v>
      </c>
      <c r="BY1" s="76" t="s">
        <v>372</v>
      </c>
      <c r="BZ1" s="76" t="s">
        <v>373</v>
      </c>
      <c r="CA1" s="81" t="s">
        <v>375</v>
      </c>
      <c r="CB1" s="82" t="s">
        <v>376</v>
      </c>
      <c r="CC1" t="s">
        <v>68</v>
      </c>
      <c r="CD1" s="7" t="s">
        <v>94</v>
      </c>
      <c r="CE1" s="7" t="s">
        <v>95</v>
      </c>
      <c r="CF1" t="s">
        <v>69</v>
      </c>
      <c r="CG1" t="s">
        <v>252</v>
      </c>
      <c r="CH1" t="s">
        <v>253</v>
      </c>
      <c r="CI1" t="s">
        <v>254</v>
      </c>
      <c r="CJ1" t="s">
        <v>255</v>
      </c>
      <c r="CK1" t="s">
        <v>257</v>
      </c>
      <c r="CL1" t="s">
        <v>256</v>
      </c>
      <c r="CM1" t="s">
        <v>258</v>
      </c>
      <c r="CN1" t="s">
        <v>259</v>
      </c>
      <c r="CO1" t="s">
        <v>260</v>
      </c>
      <c r="CP1" t="s">
        <v>261</v>
      </c>
      <c r="CQ1" t="s">
        <v>262</v>
      </c>
      <c r="CR1" t="s">
        <v>263</v>
      </c>
      <c r="CS1" t="s">
        <v>264</v>
      </c>
      <c r="CT1" t="s">
        <v>70</v>
      </c>
      <c r="CU1" t="s">
        <v>71</v>
      </c>
      <c r="CV1" s="8" t="s">
        <v>97</v>
      </c>
      <c r="CW1" s="8" t="s">
        <v>96</v>
      </c>
      <c r="CX1" s="8" t="s">
        <v>98</v>
      </c>
      <c r="CY1" t="s">
        <v>265</v>
      </c>
      <c r="CZ1" t="s">
        <v>267</v>
      </c>
      <c r="DA1" s="8" t="s">
        <v>266</v>
      </c>
      <c r="DB1" t="s">
        <v>114</v>
      </c>
      <c r="DC1" s="62" t="s">
        <v>268</v>
      </c>
      <c r="DD1" t="s">
        <v>0</v>
      </c>
      <c r="DE1" t="s">
        <v>269</v>
      </c>
      <c r="DF1" s="6" t="s">
        <v>115</v>
      </c>
      <c r="DG1" s="6" t="s">
        <v>72</v>
      </c>
      <c r="DH1" t="s">
        <v>73</v>
      </c>
      <c r="DI1" t="s">
        <v>271</v>
      </c>
      <c r="DJ1" t="s">
        <v>74</v>
      </c>
      <c r="DK1" t="s">
        <v>272</v>
      </c>
      <c r="DL1" s="66" t="s">
        <v>273</v>
      </c>
      <c r="DM1" t="s">
        <v>274</v>
      </c>
      <c r="DN1" t="s">
        <v>75</v>
      </c>
      <c r="DO1" t="s">
        <v>275</v>
      </c>
      <c r="DP1" t="s">
        <v>116</v>
      </c>
      <c r="DQ1" t="s">
        <v>276</v>
      </c>
      <c r="DR1" t="s">
        <v>277</v>
      </c>
      <c r="DS1" t="s">
        <v>278</v>
      </c>
      <c r="DT1" t="s">
        <v>279</v>
      </c>
      <c r="DU1" t="s">
        <v>76</v>
      </c>
      <c r="DV1" t="s">
        <v>77</v>
      </c>
      <c r="DW1" t="s">
        <v>78</v>
      </c>
      <c r="DX1" s="30" t="s">
        <v>58</v>
      </c>
      <c r="DY1" s="72" t="s">
        <v>280</v>
      </c>
      <c r="DZ1" s="73" t="s">
        <v>241</v>
      </c>
      <c r="EA1" s="6" t="s">
        <v>244</v>
      </c>
      <c r="EB1" s="6" t="s">
        <v>377</v>
      </c>
      <c r="EC1" s="28" t="s">
        <v>240</v>
      </c>
      <c r="ED1" s="11" t="s">
        <v>239</v>
      </c>
      <c r="EE1" s="6" t="s">
        <v>281</v>
      </c>
      <c r="EF1" s="6" t="s">
        <v>378</v>
      </c>
      <c r="EG1" s="28" t="s">
        <v>79</v>
      </c>
      <c r="EH1" s="28" t="s">
        <v>296</v>
      </c>
      <c r="EI1" s="29" t="s">
        <v>103</v>
      </c>
      <c r="EJ1" s="29" t="s">
        <v>359</v>
      </c>
      <c r="EK1" s="12" t="s">
        <v>117</v>
      </c>
      <c r="EL1" s="12" t="s">
        <v>379</v>
      </c>
      <c r="EM1" s="28" t="s">
        <v>80</v>
      </c>
      <c r="EN1" s="11" t="s">
        <v>242</v>
      </c>
      <c r="EO1" s="6" t="s">
        <v>243</v>
      </c>
      <c r="EP1" t="s">
        <v>81</v>
      </c>
      <c r="EQ1" t="s">
        <v>82</v>
      </c>
      <c r="ER1" t="s">
        <v>83</v>
      </c>
      <c r="ES1" t="s">
        <v>84</v>
      </c>
      <c r="ET1" t="s">
        <v>85</v>
      </c>
      <c r="EU1" t="s">
        <v>86</v>
      </c>
      <c r="EV1" t="s">
        <v>87</v>
      </c>
      <c r="EW1" t="s">
        <v>88</v>
      </c>
      <c r="EX1" t="s">
        <v>89</v>
      </c>
      <c r="EY1" t="s">
        <v>90</v>
      </c>
      <c r="EZ1" s="12" t="s">
        <v>104</v>
      </c>
      <c r="FA1" s="6" t="s">
        <v>91</v>
      </c>
      <c r="FB1" s="6" t="s">
        <v>282</v>
      </c>
      <c r="FC1" s="6" t="s">
        <v>284</v>
      </c>
      <c r="FD1" s="6" t="s">
        <v>92</v>
      </c>
      <c r="FE1" s="6" t="s">
        <v>283</v>
      </c>
      <c r="FF1" s="6" t="s">
        <v>93</v>
      </c>
      <c r="FG1" s="67" t="s">
        <v>285</v>
      </c>
      <c r="FH1" s="6"/>
      <c r="FI1" s="9" t="s">
        <v>99</v>
      </c>
      <c r="FJ1" s="9" t="s">
        <v>17</v>
      </c>
      <c r="FK1" s="9" t="s">
        <v>100</v>
      </c>
      <c r="FL1" s="9" t="s">
        <v>101</v>
      </c>
      <c r="FM1" s="9" t="s">
        <v>105</v>
      </c>
      <c r="FN1" s="9" t="s">
        <v>287</v>
      </c>
      <c r="FO1" s="16" t="s">
        <v>118</v>
      </c>
      <c r="FP1" s="16" t="s">
        <v>119</v>
      </c>
      <c r="FQ1" s="16" t="s">
        <v>120</v>
      </c>
      <c r="FR1" s="16" t="s">
        <v>121</v>
      </c>
      <c r="FS1" s="16" t="s">
        <v>122</v>
      </c>
      <c r="FT1" s="16" t="s">
        <v>123</v>
      </c>
      <c r="FU1" s="17" t="s">
        <v>124</v>
      </c>
      <c r="FV1" s="17" t="s">
        <v>125</v>
      </c>
      <c r="FW1" s="17" t="s">
        <v>126</v>
      </c>
      <c r="FX1" s="17" t="s">
        <v>127</v>
      </c>
      <c r="FY1" s="17" t="s">
        <v>128</v>
      </c>
      <c r="FZ1" s="17" t="s">
        <v>129</v>
      </c>
      <c r="GA1" s="17" t="s">
        <v>130</v>
      </c>
      <c r="GB1" s="17" t="s">
        <v>131</v>
      </c>
      <c r="GC1" s="17" t="s">
        <v>132</v>
      </c>
      <c r="GD1" s="17" t="s">
        <v>133</v>
      </c>
      <c r="GE1" s="17" t="s">
        <v>134</v>
      </c>
      <c r="GF1" s="17" t="s">
        <v>135</v>
      </c>
      <c r="GG1" s="17" t="s">
        <v>136</v>
      </c>
      <c r="GH1" s="17" t="s">
        <v>137</v>
      </c>
      <c r="GI1" s="17" t="s">
        <v>138</v>
      </c>
      <c r="GJ1" s="17" t="s">
        <v>139</v>
      </c>
      <c r="GK1" s="17" t="s">
        <v>140</v>
      </c>
      <c r="GL1" s="17" t="s">
        <v>141</v>
      </c>
      <c r="GM1" s="17" t="s">
        <v>142</v>
      </c>
      <c r="GN1" s="17" t="s">
        <v>143</v>
      </c>
      <c r="GO1" s="17" t="s">
        <v>144</v>
      </c>
      <c r="GP1" s="17" t="s">
        <v>145</v>
      </c>
      <c r="GQ1" s="17" t="s">
        <v>146</v>
      </c>
      <c r="GR1" s="17" t="s">
        <v>147</v>
      </c>
      <c r="GS1" s="17" t="s">
        <v>148</v>
      </c>
      <c r="GT1" s="17" t="s">
        <v>149</v>
      </c>
      <c r="GU1" s="17" t="s">
        <v>150</v>
      </c>
      <c r="GV1" s="17" t="s">
        <v>151</v>
      </c>
      <c r="GW1" s="17" t="s">
        <v>292</v>
      </c>
      <c r="GX1" s="68" t="s">
        <v>293</v>
      </c>
      <c r="GY1" s="17" t="s">
        <v>152</v>
      </c>
      <c r="GZ1" s="17" t="s">
        <v>153</v>
      </c>
      <c r="HA1" s="17" t="s">
        <v>154</v>
      </c>
      <c r="HB1" s="17" t="s">
        <v>155</v>
      </c>
      <c r="HC1" s="17" t="s">
        <v>289</v>
      </c>
      <c r="HD1" s="68" t="s">
        <v>290</v>
      </c>
      <c r="HE1" s="17" t="s">
        <v>156</v>
      </c>
      <c r="HF1" s="18" t="s">
        <v>157</v>
      </c>
      <c r="HG1" s="18" t="s">
        <v>158</v>
      </c>
      <c r="HH1" s="18" t="s">
        <v>159</v>
      </c>
      <c r="HI1" s="18" t="s">
        <v>160</v>
      </c>
      <c r="HJ1" s="18" t="s">
        <v>161</v>
      </c>
      <c r="HK1" s="18" t="s">
        <v>162</v>
      </c>
      <c r="HL1" s="18" t="s">
        <v>163</v>
      </c>
      <c r="HM1" s="18" t="s">
        <v>164</v>
      </c>
      <c r="HN1" s="18" t="s">
        <v>165</v>
      </c>
      <c r="HO1" s="18" t="s">
        <v>166</v>
      </c>
      <c r="HP1" s="18" t="s">
        <v>167</v>
      </c>
      <c r="HQ1" s="18" t="s">
        <v>168</v>
      </c>
      <c r="HR1" s="18" t="s">
        <v>169</v>
      </c>
      <c r="HS1" s="18" t="s">
        <v>170</v>
      </c>
      <c r="HT1" s="18" t="s">
        <v>171</v>
      </c>
      <c r="HU1" s="18" t="s">
        <v>172</v>
      </c>
      <c r="HV1" s="18" t="s">
        <v>173</v>
      </c>
      <c r="HW1" s="19" t="s">
        <v>174</v>
      </c>
      <c r="HX1" s="19" t="s">
        <v>175</v>
      </c>
      <c r="HY1" s="19" t="s">
        <v>176</v>
      </c>
      <c r="HZ1" s="19" t="s">
        <v>177</v>
      </c>
      <c r="IA1" s="19" t="s">
        <v>178</v>
      </c>
      <c r="IB1" s="19" t="s">
        <v>179</v>
      </c>
      <c r="IC1" s="20" t="s">
        <v>180</v>
      </c>
      <c r="ID1" s="20" t="s">
        <v>181</v>
      </c>
      <c r="IE1" s="20" t="s">
        <v>182</v>
      </c>
      <c r="IF1" s="20" t="s">
        <v>183</v>
      </c>
      <c r="IG1" s="20" t="s">
        <v>184</v>
      </c>
      <c r="IH1" s="20" t="s">
        <v>185</v>
      </c>
      <c r="II1" s="20" t="s">
        <v>186</v>
      </c>
      <c r="IJ1" s="20" t="s">
        <v>187</v>
      </c>
      <c r="IK1" s="20" t="s">
        <v>188</v>
      </c>
      <c r="IL1" s="20" t="s">
        <v>189</v>
      </c>
      <c r="IM1" s="20" t="s">
        <v>190</v>
      </c>
      <c r="IN1" s="20" t="s">
        <v>191</v>
      </c>
      <c r="IO1" s="20" t="s">
        <v>192</v>
      </c>
      <c r="IP1" s="20" t="s">
        <v>193</v>
      </c>
      <c r="IQ1" s="20" t="s">
        <v>194</v>
      </c>
      <c r="IR1" s="20" t="s">
        <v>195</v>
      </c>
      <c r="IS1" s="20" t="s">
        <v>196</v>
      </c>
      <c r="IT1" s="20" t="s">
        <v>197</v>
      </c>
      <c r="IU1" s="20" t="s">
        <v>198</v>
      </c>
      <c r="IV1" s="20" t="s">
        <v>199</v>
      </c>
      <c r="IW1" s="20" t="s">
        <v>200</v>
      </c>
      <c r="IX1" s="20" t="s">
        <v>201</v>
      </c>
      <c r="IY1" s="20" t="s">
        <v>202</v>
      </c>
      <c r="IZ1" s="20" t="s">
        <v>203</v>
      </c>
      <c r="JA1" s="20" t="s">
        <v>204</v>
      </c>
      <c r="JB1" s="20" t="s">
        <v>205</v>
      </c>
      <c r="JC1" s="20" t="s">
        <v>206</v>
      </c>
      <c r="JD1" s="20" t="s">
        <v>207</v>
      </c>
      <c r="JE1" s="69" t="s">
        <v>292</v>
      </c>
      <c r="JF1" s="70" t="s">
        <v>293</v>
      </c>
      <c r="JG1" s="20" t="s">
        <v>208</v>
      </c>
      <c r="JH1" s="20" t="s">
        <v>209</v>
      </c>
      <c r="JI1" s="20" t="s">
        <v>210</v>
      </c>
      <c r="JJ1" s="20" t="s">
        <v>211</v>
      </c>
      <c r="JK1" s="69" t="s">
        <v>289</v>
      </c>
      <c r="JL1" s="70" t="s">
        <v>290</v>
      </c>
      <c r="JM1" s="20" t="s">
        <v>212</v>
      </c>
      <c r="JN1" s="21" t="s">
        <v>213</v>
      </c>
      <c r="JO1" s="21" t="s">
        <v>214</v>
      </c>
      <c r="JP1" s="21" t="s">
        <v>215</v>
      </c>
      <c r="JQ1" s="21" t="s">
        <v>216</v>
      </c>
      <c r="JR1" s="21" t="s">
        <v>217</v>
      </c>
      <c r="JS1" s="21" t="s">
        <v>218</v>
      </c>
      <c r="JT1" s="21" t="s">
        <v>219</v>
      </c>
      <c r="JU1" s="21" t="s">
        <v>220</v>
      </c>
      <c r="JV1" s="21" t="s">
        <v>221</v>
      </c>
      <c r="JW1" s="21" t="s">
        <v>222</v>
      </c>
      <c r="JX1" s="21" t="s">
        <v>223</v>
      </c>
      <c r="JY1" s="21" t="s">
        <v>224</v>
      </c>
      <c r="JZ1" s="21" t="s">
        <v>225</v>
      </c>
      <c r="KA1" s="21" t="s">
        <v>226</v>
      </c>
      <c r="KB1" s="21" t="s">
        <v>227</v>
      </c>
      <c r="KC1" s="21" t="s">
        <v>228</v>
      </c>
      <c r="KD1" s="21" t="s">
        <v>229</v>
      </c>
      <c r="KE1" s="16" t="s">
        <v>354</v>
      </c>
      <c r="KF1" s="16" t="s">
        <v>355</v>
      </c>
      <c r="KG1" s="16" t="s">
        <v>297</v>
      </c>
      <c r="KH1" s="16" t="s">
        <v>298</v>
      </c>
      <c r="KI1" s="16" t="s">
        <v>299</v>
      </c>
      <c r="KJ1" s="16" t="s">
        <v>300</v>
      </c>
      <c r="KK1" s="17" t="s">
        <v>301</v>
      </c>
      <c r="KL1" s="17" t="s">
        <v>302</v>
      </c>
      <c r="KM1" s="17" t="s">
        <v>303</v>
      </c>
      <c r="KN1" s="17" t="s">
        <v>304</v>
      </c>
      <c r="KO1" s="17" t="s">
        <v>305</v>
      </c>
      <c r="KP1" s="17" t="s">
        <v>306</v>
      </c>
      <c r="KQ1" s="17" t="s">
        <v>307</v>
      </c>
      <c r="KR1" s="17" t="s">
        <v>308</v>
      </c>
      <c r="KS1" s="17" t="s">
        <v>309</v>
      </c>
      <c r="KT1" s="17" t="s">
        <v>310</v>
      </c>
      <c r="KU1" s="17" t="s">
        <v>311</v>
      </c>
      <c r="KV1" s="17" t="s">
        <v>312</v>
      </c>
      <c r="KW1" s="17" t="s">
        <v>313</v>
      </c>
      <c r="KX1" s="17" t="s">
        <v>314</v>
      </c>
      <c r="KY1" s="17" t="s">
        <v>315</v>
      </c>
      <c r="KZ1" s="17" t="s">
        <v>316</v>
      </c>
      <c r="LA1" s="17" t="s">
        <v>317</v>
      </c>
      <c r="LB1" s="17" t="s">
        <v>318</v>
      </c>
      <c r="LC1" s="17" t="s">
        <v>319</v>
      </c>
      <c r="LD1" s="17" t="s">
        <v>320</v>
      </c>
      <c r="LE1" s="17" t="s">
        <v>321</v>
      </c>
      <c r="LF1" s="17" t="s">
        <v>322</v>
      </c>
      <c r="LG1" s="17" t="s">
        <v>323</v>
      </c>
      <c r="LH1" s="17" t="s">
        <v>324</v>
      </c>
      <c r="LI1" s="17" t="s">
        <v>325</v>
      </c>
      <c r="LJ1" s="17" t="s">
        <v>326</v>
      </c>
      <c r="LK1" s="17" t="s">
        <v>327</v>
      </c>
      <c r="LL1" s="17" t="s">
        <v>356</v>
      </c>
      <c r="LM1" s="17" t="s">
        <v>328</v>
      </c>
      <c r="LN1" s="68" t="s">
        <v>329</v>
      </c>
      <c r="LO1" s="17" t="s">
        <v>330</v>
      </c>
      <c r="LP1" s="17" t="s">
        <v>331</v>
      </c>
      <c r="LQ1" s="17" t="s">
        <v>332</v>
      </c>
      <c r="LR1" s="17" t="s">
        <v>333</v>
      </c>
      <c r="LS1" s="17" t="s">
        <v>334</v>
      </c>
      <c r="LT1" s="68" t="s">
        <v>335</v>
      </c>
      <c r="LU1" s="17" t="s">
        <v>336</v>
      </c>
      <c r="LV1" s="18" t="s">
        <v>337</v>
      </c>
      <c r="LW1" s="18" t="s">
        <v>338</v>
      </c>
      <c r="LX1" s="18" t="s">
        <v>339</v>
      </c>
      <c r="LY1" s="18" t="s">
        <v>340</v>
      </c>
      <c r="LZ1" s="18" t="s">
        <v>341</v>
      </c>
      <c r="MA1" s="18" t="s">
        <v>342</v>
      </c>
      <c r="MB1" s="18" t="s">
        <v>343</v>
      </c>
      <c r="MC1" s="18" t="s">
        <v>344</v>
      </c>
      <c r="MD1" s="18" t="s">
        <v>345</v>
      </c>
      <c r="ME1" s="18" t="s">
        <v>346</v>
      </c>
      <c r="MF1" s="18" t="s">
        <v>347</v>
      </c>
      <c r="MG1" s="18" t="s">
        <v>348</v>
      </c>
      <c r="MH1" s="18" t="s">
        <v>349</v>
      </c>
      <c r="MI1" s="18" t="s">
        <v>350</v>
      </c>
      <c r="MJ1" s="18" t="s">
        <v>351</v>
      </c>
      <c r="MK1" s="18" t="s">
        <v>352</v>
      </c>
      <c r="ML1" s="18" t="s">
        <v>353</v>
      </c>
      <c r="MM1" s="18" t="s">
        <v>357</v>
      </c>
      <c r="MN1" s="18" t="s">
        <v>358</v>
      </c>
      <c r="MO1" s="18" t="s">
        <v>380</v>
      </c>
      <c r="MP1" s="18" t="s">
        <v>381</v>
      </c>
    </row>
    <row r="2" spans="1:357" ht="18" x14ac:dyDescent="0.25">
      <c r="A2" s="3" t="s">
        <v>26</v>
      </c>
      <c r="B2" s="3" t="s">
        <v>27</v>
      </c>
      <c r="C2" s="2">
        <v>17318</v>
      </c>
      <c r="D2" s="3">
        <v>74</v>
      </c>
      <c r="E2" s="3">
        <v>8015712465</v>
      </c>
      <c r="F2" s="3">
        <v>1</v>
      </c>
      <c r="G2" s="3">
        <v>1</v>
      </c>
      <c r="H2" s="3"/>
      <c r="I2" s="55">
        <v>664</v>
      </c>
      <c r="J2" s="55">
        <v>1</v>
      </c>
      <c r="K2" s="57">
        <v>0</v>
      </c>
      <c r="L2" s="57">
        <v>0</v>
      </c>
      <c r="M2" s="2">
        <v>44477</v>
      </c>
      <c r="N2" s="64">
        <v>1</v>
      </c>
      <c r="O2" s="2">
        <v>44531</v>
      </c>
      <c r="P2" s="3">
        <v>0</v>
      </c>
      <c r="Q2" s="2">
        <v>45035</v>
      </c>
      <c r="R2" s="64">
        <v>664</v>
      </c>
      <c r="S2" s="83">
        <v>1</v>
      </c>
      <c r="T2" s="83">
        <v>0</v>
      </c>
      <c r="U2" s="83">
        <v>0</v>
      </c>
      <c r="V2" s="83">
        <v>60</v>
      </c>
      <c r="W2" s="83">
        <v>1</v>
      </c>
      <c r="X2" s="83">
        <v>1</v>
      </c>
      <c r="Y2" s="83">
        <v>0</v>
      </c>
      <c r="Z2" s="83">
        <v>1</v>
      </c>
      <c r="AA2" s="83">
        <v>1</v>
      </c>
      <c r="AB2" s="83">
        <v>1</v>
      </c>
      <c r="AC2" s="83">
        <v>1</v>
      </c>
      <c r="AD2" s="83">
        <v>0</v>
      </c>
      <c r="AE2" s="83">
        <v>0</v>
      </c>
      <c r="AF2" s="83">
        <v>0</v>
      </c>
      <c r="AG2" s="83">
        <v>0</v>
      </c>
      <c r="AH2" s="83">
        <v>0</v>
      </c>
      <c r="AI2" s="83">
        <v>1</v>
      </c>
      <c r="AJ2" s="83">
        <v>0</v>
      </c>
      <c r="AK2" s="83">
        <v>0</v>
      </c>
      <c r="AL2" s="83">
        <v>0</v>
      </c>
      <c r="AM2" s="83">
        <v>0</v>
      </c>
      <c r="AN2" s="83">
        <v>0</v>
      </c>
      <c r="AO2" s="83">
        <v>0</v>
      </c>
      <c r="AP2" s="83">
        <v>81</v>
      </c>
      <c r="AQ2" s="83">
        <v>167</v>
      </c>
      <c r="AR2" s="83">
        <v>29</v>
      </c>
      <c r="AS2" s="83">
        <v>36.6</v>
      </c>
      <c r="AT2" s="83">
        <v>119</v>
      </c>
      <c r="AU2" s="83">
        <v>78</v>
      </c>
      <c r="AV2" s="83">
        <v>3</v>
      </c>
      <c r="AW2" s="83">
        <v>1</v>
      </c>
      <c r="AX2" s="83">
        <v>88</v>
      </c>
      <c r="AY2" s="84">
        <v>44371</v>
      </c>
      <c r="AZ2" s="84">
        <v>44371</v>
      </c>
      <c r="BA2" s="83">
        <v>0</v>
      </c>
      <c r="BB2" s="84">
        <v>44371</v>
      </c>
      <c r="BC2" s="83">
        <v>1</v>
      </c>
      <c r="BD2" s="83">
        <v>1</v>
      </c>
      <c r="BE2" s="83">
        <v>0</v>
      </c>
      <c r="BF2" s="83">
        <v>0</v>
      </c>
      <c r="BG2" s="83">
        <v>0</v>
      </c>
      <c r="BH2" s="83">
        <v>0</v>
      </c>
      <c r="BI2" s="83">
        <v>1</v>
      </c>
      <c r="BJ2" s="83">
        <v>0</v>
      </c>
      <c r="BK2" s="83">
        <v>1</v>
      </c>
      <c r="BL2" s="85">
        <v>3</v>
      </c>
      <c r="BM2" s="83">
        <v>0</v>
      </c>
      <c r="BN2" s="83">
        <v>0</v>
      </c>
      <c r="BO2" s="86">
        <v>0</v>
      </c>
      <c r="BP2" s="83">
        <v>2</v>
      </c>
      <c r="BQ2" s="83">
        <v>0</v>
      </c>
      <c r="BR2" s="86">
        <v>5</v>
      </c>
      <c r="BS2" s="83">
        <v>1</v>
      </c>
      <c r="BT2" s="85">
        <v>3</v>
      </c>
      <c r="BU2" s="83">
        <v>3</v>
      </c>
      <c r="BV2" s="83">
        <v>0</v>
      </c>
      <c r="BW2" s="86">
        <v>0</v>
      </c>
      <c r="BX2" s="83">
        <v>2</v>
      </c>
      <c r="BY2" s="83">
        <v>0</v>
      </c>
      <c r="BZ2" s="86">
        <v>8</v>
      </c>
      <c r="CA2" s="83">
        <v>1</v>
      </c>
      <c r="CB2" s="83">
        <v>1</v>
      </c>
      <c r="CC2" s="83">
        <v>1</v>
      </c>
      <c r="CD2" s="83">
        <v>1</v>
      </c>
      <c r="CE2" s="83"/>
      <c r="CF2" s="83">
        <v>1</v>
      </c>
      <c r="CG2" s="83">
        <v>1</v>
      </c>
      <c r="CH2" s="83">
        <v>0</v>
      </c>
      <c r="CI2" s="83">
        <v>0</v>
      </c>
      <c r="CJ2" s="83">
        <v>0</v>
      </c>
      <c r="CK2" s="83">
        <v>0</v>
      </c>
      <c r="CL2" s="83">
        <v>0</v>
      </c>
      <c r="CM2" s="83">
        <v>0</v>
      </c>
      <c r="CN2" s="83">
        <v>1</v>
      </c>
      <c r="CO2" s="83">
        <v>0</v>
      </c>
      <c r="CP2" s="83">
        <v>0</v>
      </c>
      <c r="CQ2" s="83">
        <v>0</v>
      </c>
      <c r="CR2" s="83">
        <v>0</v>
      </c>
      <c r="CS2" s="83">
        <v>0</v>
      </c>
      <c r="CT2" s="83">
        <v>0</v>
      </c>
      <c r="CU2" s="83">
        <v>0</v>
      </c>
      <c r="CV2" s="83">
        <v>0</v>
      </c>
      <c r="CW2" s="83">
        <v>0</v>
      </c>
      <c r="CX2" s="83">
        <v>0</v>
      </c>
      <c r="CY2" s="83"/>
      <c r="CZ2" s="83"/>
      <c r="DA2" s="83"/>
      <c r="DB2" s="84">
        <v>44446</v>
      </c>
      <c r="DC2" s="86">
        <v>75</v>
      </c>
      <c r="DD2" s="83" t="s">
        <v>1</v>
      </c>
      <c r="DE2" s="83">
        <v>1</v>
      </c>
      <c r="DF2" s="84">
        <v>44461</v>
      </c>
      <c r="DG2" s="83">
        <v>16</v>
      </c>
      <c r="DH2" s="84"/>
      <c r="DI2" s="83">
        <v>14</v>
      </c>
      <c r="DJ2" s="83">
        <v>10</v>
      </c>
      <c r="DK2" s="83">
        <v>4.8</v>
      </c>
      <c r="DL2" s="86">
        <v>1132</v>
      </c>
      <c r="DM2" s="83">
        <v>5</v>
      </c>
      <c r="DN2" s="83">
        <v>11</v>
      </c>
      <c r="DO2" s="83"/>
      <c r="DP2" s="83">
        <v>1</v>
      </c>
      <c r="DQ2" s="83">
        <v>1200</v>
      </c>
      <c r="DR2" s="83"/>
      <c r="DS2" s="83">
        <v>260</v>
      </c>
      <c r="DT2" s="83">
        <v>21</v>
      </c>
      <c r="DU2" s="83"/>
      <c r="DV2" s="83">
        <v>7</v>
      </c>
      <c r="DW2" s="83">
        <v>5</v>
      </c>
      <c r="DX2" s="84">
        <v>44371</v>
      </c>
      <c r="DY2" s="83">
        <v>21.7</v>
      </c>
      <c r="DZ2" s="83">
        <v>30</v>
      </c>
      <c r="EA2" s="83">
        <v>30</v>
      </c>
      <c r="EB2" s="83">
        <v>1</v>
      </c>
      <c r="EC2" s="83">
        <v>2.2000000000000002</v>
      </c>
      <c r="ED2" s="83">
        <v>2.6</v>
      </c>
      <c r="EE2" s="83">
        <v>2.6</v>
      </c>
      <c r="EF2" s="83">
        <v>1</v>
      </c>
      <c r="EG2" s="83">
        <v>448</v>
      </c>
      <c r="EH2" s="87">
        <v>1</v>
      </c>
      <c r="EI2" s="83">
        <v>448</v>
      </c>
      <c r="EJ2" s="83">
        <v>0</v>
      </c>
      <c r="EK2" s="83">
        <v>448</v>
      </c>
      <c r="EL2" s="85">
        <v>1</v>
      </c>
      <c r="EM2" s="83">
        <v>0.8</v>
      </c>
      <c r="EN2" s="83"/>
      <c r="EO2" s="83"/>
      <c r="EP2" s="83">
        <v>20</v>
      </c>
      <c r="EQ2" s="83"/>
      <c r="ER2" s="83">
        <v>30</v>
      </c>
      <c r="ES2" s="83">
        <v>11</v>
      </c>
      <c r="ET2" s="83">
        <v>40</v>
      </c>
      <c r="EU2" s="83">
        <v>112</v>
      </c>
      <c r="EV2" s="83">
        <v>5</v>
      </c>
      <c r="EW2" s="83">
        <v>3</v>
      </c>
      <c r="EX2" s="83"/>
      <c r="EY2" s="83">
        <v>7.39</v>
      </c>
      <c r="EZ2" s="83"/>
      <c r="FA2" s="83">
        <v>1</v>
      </c>
      <c r="FB2" s="83">
        <v>1</v>
      </c>
      <c r="FC2" s="85" t="e">
        <v>#REF!</v>
      </c>
      <c r="FD2" s="83">
        <v>1</v>
      </c>
      <c r="FE2" s="83">
        <v>1</v>
      </c>
      <c r="FF2" s="84">
        <v>44457</v>
      </c>
      <c r="FG2" s="84"/>
      <c r="FH2" s="84"/>
      <c r="FI2" s="83">
        <v>0</v>
      </c>
      <c r="FJ2" s="83">
        <v>0</v>
      </c>
      <c r="FK2" s="83"/>
      <c r="FL2" s="83"/>
      <c r="FM2" s="83">
        <v>0</v>
      </c>
      <c r="FN2" s="83"/>
      <c r="FO2" s="88">
        <v>44376</v>
      </c>
      <c r="FP2" s="88" t="s">
        <v>230</v>
      </c>
      <c r="FQ2" s="24">
        <v>1</v>
      </c>
      <c r="FR2" s="24">
        <v>0</v>
      </c>
      <c r="FS2" s="24">
        <v>1</v>
      </c>
      <c r="FT2" s="24">
        <v>0</v>
      </c>
      <c r="FU2" s="24">
        <v>1</v>
      </c>
      <c r="FV2" s="24">
        <v>1</v>
      </c>
      <c r="FW2" s="24">
        <v>1</v>
      </c>
      <c r="FX2" s="24">
        <v>0</v>
      </c>
      <c r="FY2" s="24">
        <v>1</v>
      </c>
      <c r="FZ2" s="24">
        <v>1</v>
      </c>
      <c r="GA2" s="24">
        <v>1</v>
      </c>
      <c r="GB2" s="24">
        <v>1</v>
      </c>
      <c r="GC2" s="24">
        <v>1</v>
      </c>
      <c r="GD2" s="24">
        <v>0</v>
      </c>
      <c r="GE2" s="24">
        <v>0</v>
      </c>
      <c r="GF2" s="24">
        <v>0</v>
      </c>
      <c r="GG2" s="24">
        <v>0</v>
      </c>
      <c r="GH2" s="24">
        <v>0</v>
      </c>
      <c r="GI2" s="24">
        <v>1</v>
      </c>
      <c r="GJ2" s="24">
        <v>0</v>
      </c>
      <c r="GK2" s="24">
        <v>1</v>
      </c>
      <c r="GL2" s="24">
        <v>0</v>
      </c>
      <c r="GM2" s="24">
        <v>1</v>
      </c>
      <c r="GN2" s="24">
        <v>1</v>
      </c>
      <c r="GO2" s="24">
        <v>0</v>
      </c>
      <c r="GP2" s="24">
        <v>1</v>
      </c>
      <c r="GQ2" s="24">
        <v>1</v>
      </c>
      <c r="GR2" s="24">
        <v>0</v>
      </c>
      <c r="GS2" s="24">
        <v>0</v>
      </c>
      <c r="GT2" s="24">
        <v>1</v>
      </c>
      <c r="GU2" s="24">
        <v>1</v>
      </c>
      <c r="GV2" s="24" t="s">
        <v>233</v>
      </c>
      <c r="GW2" s="24">
        <v>1</v>
      </c>
      <c r="GX2" s="24">
        <v>0</v>
      </c>
      <c r="GY2" s="24">
        <v>0</v>
      </c>
      <c r="GZ2" s="24">
        <v>0</v>
      </c>
      <c r="HA2" s="24">
        <v>1</v>
      </c>
      <c r="HB2" s="24" t="s">
        <v>233</v>
      </c>
      <c r="HC2" s="89">
        <v>1</v>
      </c>
      <c r="HD2" s="24">
        <v>0</v>
      </c>
      <c r="HE2" s="24">
        <v>0</v>
      </c>
      <c r="HF2" s="24">
        <v>1</v>
      </c>
      <c r="HG2" s="24">
        <v>0</v>
      </c>
      <c r="HH2" s="24">
        <v>0</v>
      </c>
      <c r="HI2" s="24">
        <v>0</v>
      </c>
      <c r="HJ2" s="24">
        <v>1</v>
      </c>
      <c r="HK2" s="24">
        <v>0</v>
      </c>
      <c r="HL2" s="24">
        <v>0</v>
      </c>
      <c r="HM2" s="24">
        <v>1</v>
      </c>
      <c r="HN2" s="24">
        <v>0</v>
      </c>
      <c r="HO2" s="24">
        <v>0</v>
      </c>
      <c r="HP2" s="24">
        <v>0</v>
      </c>
      <c r="HQ2" s="24">
        <v>0</v>
      </c>
      <c r="HR2" s="24">
        <v>1</v>
      </c>
      <c r="HS2" s="24">
        <v>1</v>
      </c>
      <c r="HT2" s="24">
        <v>0</v>
      </c>
      <c r="HU2" s="24"/>
      <c r="HV2" s="24">
        <v>0</v>
      </c>
      <c r="HW2" s="88">
        <v>44379</v>
      </c>
      <c r="HX2" s="24" t="s">
        <v>230</v>
      </c>
      <c r="HY2" s="24">
        <v>1</v>
      </c>
      <c r="HZ2" s="24">
        <v>1</v>
      </c>
      <c r="IA2" s="24">
        <v>1</v>
      </c>
      <c r="IB2" s="24">
        <v>0</v>
      </c>
      <c r="IC2" s="24">
        <v>1</v>
      </c>
      <c r="ID2" s="24">
        <v>1</v>
      </c>
      <c r="IE2" s="24">
        <v>1</v>
      </c>
      <c r="IF2" s="24">
        <v>0</v>
      </c>
      <c r="IG2" s="24">
        <v>1</v>
      </c>
      <c r="IH2" s="24">
        <v>1</v>
      </c>
      <c r="II2" s="24">
        <v>1</v>
      </c>
      <c r="IJ2" s="24">
        <v>1</v>
      </c>
      <c r="IK2" s="24">
        <v>1</v>
      </c>
      <c r="IL2" s="24">
        <v>0</v>
      </c>
      <c r="IM2" s="24">
        <v>0</v>
      </c>
      <c r="IN2" s="24">
        <v>0</v>
      </c>
      <c r="IO2" s="24">
        <v>0</v>
      </c>
      <c r="IP2" s="24">
        <v>0</v>
      </c>
      <c r="IQ2" s="24">
        <v>1</v>
      </c>
      <c r="IR2" s="24">
        <v>0</v>
      </c>
      <c r="IS2" s="24">
        <v>1</v>
      </c>
      <c r="IT2" s="24">
        <v>0</v>
      </c>
      <c r="IU2" s="24">
        <v>1</v>
      </c>
      <c r="IV2" s="24">
        <v>1</v>
      </c>
      <c r="IW2" s="24">
        <v>0</v>
      </c>
      <c r="IX2" s="24">
        <v>1</v>
      </c>
      <c r="IY2" s="24">
        <v>1</v>
      </c>
      <c r="IZ2" s="24">
        <v>0</v>
      </c>
      <c r="JA2" s="24">
        <v>0</v>
      </c>
      <c r="JB2" s="24">
        <v>1</v>
      </c>
      <c r="JC2" s="24">
        <v>1</v>
      </c>
      <c r="JD2" s="24" t="s">
        <v>233</v>
      </c>
      <c r="JE2" s="24">
        <v>1</v>
      </c>
      <c r="JF2" s="24">
        <v>0</v>
      </c>
      <c r="JG2" s="24">
        <v>0</v>
      </c>
      <c r="JH2" s="24">
        <v>0</v>
      </c>
      <c r="JI2" s="24">
        <v>1</v>
      </c>
      <c r="JJ2" s="24" t="s">
        <v>233</v>
      </c>
      <c r="JK2" s="89">
        <v>1</v>
      </c>
      <c r="JL2" s="24"/>
      <c r="JM2" s="24">
        <v>0</v>
      </c>
      <c r="JN2" s="24">
        <v>1</v>
      </c>
      <c r="JO2" s="24">
        <v>0</v>
      </c>
      <c r="JP2" s="24">
        <v>0</v>
      </c>
      <c r="JQ2" s="24">
        <v>0</v>
      </c>
      <c r="JR2" s="24">
        <v>0</v>
      </c>
      <c r="JS2" s="24">
        <v>0</v>
      </c>
      <c r="JT2" s="24">
        <v>0</v>
      </c>
      <c r="JU2" s="24">
        <v>1</v>
      </c>
      <c r="JV2" s="24">
        <v>0</v>
      </c>
      <c r="JW2" s="24">
        <v>0</v>
      </c>
      <c r="JX2" s="24">
        <v>0</v>
      </c>
      <c r="JY2" s="24">
        <v>0</v>
      </c>
      <c r="JZ2" s="24">
        <v>1</v>
      </c>
      <c r="KA2" s="24">
        <v>1</v>
      </c>
      <c r="KB2" s="24">
        <v>0</v>
      </c>
      <c r="KC2" s="24"/>
      <c r="KD2" s="24">
        <v>0</v>
      </c>
      <c r="KE2" s="83"/>
      <c r="KF2" s="83"/>
      <c r="KG2" s="83">
        <v>1</v>
      </c>
      <c r="KH2" s="83">
        <v>1</v>
      </c>
      <c r="KI2" s="83">
        <v>1</v>
      </c>
      <c r="KJ2" s="83">
        <v>0</v>
      </c>
      <c r="KK2" s="83">
        <v>1</v>
      </c>
      <c r="KL2" s="83">
        <v>1</v>
      </c>
      <c r="KM2" s="83">
        <v>1</v>
      </c>
      <c r="KN2" s="83">
        <v>0</v>
      </c>
      <c r="KO2" s="83">
        <v>1</v>
      </c>
      <c r="KP2" s="83">
        <v>1</v>
      </c>
      <c r="KQ2" s="83">
        <v>1</v>
      </c>
      <c r="KR2" s="83">
        <v>1</v>
      </c>
      <c r="KS2" s="83">
        <v>1</v>
      </c>
      <c r="KT2" s="83">
        <v>0</v>
      </c>
      <c r="KU2" s="83">
        <v>0</v>
      </c>
      <c r="KV2" s="83">
        <v>0</v>
      </c>
      <c r="KW2" s="83">
        <v>0</v>
      </c>
      <c r="KX2" s="83">
        <v>0</v>
      </c>
      <c r="KY2" s="83">
        <v>1</v>
      </c>
      <c r="KZ2" s="83">
        <v>0</v>
      </c>
      <c r="LA2" s="83">
        <v>1</v>
      </c>
      <c r="LB2" s="83">
        <v>0</v>
      </c>
      <c r="LC2" s="83">
        <v>1</v>
      </c>
      <c r="LD2" s="83">
        <v>1</v>
      </c>
      <c r="LE2" s="83">
        <v>0</v>
      </c>
      <c r="LF2" s="83">
        <v>1</v>
      </c>
      <c r="LG2" s="83">
        <v>1</v>
      </c>
      <c r="LH2" s="83">
        <v>0</v>
      </c>
      <c r="LI2" s="83">
        <v>0</v>
      </c>
      <c r="LJ2" s="83">
        <v>1</v>
      </c>
      <c r="LK2" s="83">
        <v>1</v>
      </c>
      <c r="LL2" s="83"/>
      <c r="LM2" s="83">
        <v>1</v>
      </c>
      <c r="LN2" s="83">
        <v>0</v>
      </c>
      <c r="LO2" s="83">
        <v>0</v>
      </c>
      <c r="LP2" s="83">
        <v>0</v>
      </c>
      <c r="LQ2" s="83">
        <v>1</v>
      </c>
      <c r="LR2" s="83"/>
      <c r="LS2" s="83">
        <v>1</v>
      </c>
      <c r="LT2" s="83">
        <v>0</v>
      </c>
      <c r="LU2" s="83">
        <v>0</v>
      </c>
      <c r="LV2" s="83">
        <v>1</v>
      </c>
      <c r="LW2" s="83">
        <v>0</v>
      </c>
      <c r="LX2" s="83">
        <v>0</v>
      </c>
      <c r="LY2" s="83">
        <v>0</v>
      </c>
      <c r="LZ2" s="83">
        <v>1</v>
      </c>
      <c r="MA2" s="83">
        <v>0</v>
      </c>
      <c r="MB2" s="83">
        <v>0</v>
      </c>
      <c r="MC2" s="83">
        <v>1</v>
      </c>
      <c r="MD2" s="83">
        <v>0</v>
      </c>
      <c r="ME2" s="83">
        <v>0</v>
      </c>
      <c r="MF2" s="83">
        <v>0</v>
      </c>
      <c r="MG2" s="83">
        <v>0</v>
      </c>
      <c r="MH2" s="83">
        <v>1</v>
      </c>
      <c r="MI2" s="83">
        <v>1</v>
      </c>
      <c r="MJ2" s="83">
        <v>0</v>
      </c>
      <c r="MK2" s="83">
        <v>0</v>
      </c>
      <c r="ML2" s="83">
        <v>0</v>
      </c>
      <c r="MM2" s="83">
        <v>0</v>
      </c>
      <c r="MN2" s="83">
        <v>0</v>
      </c>
      <c r="MO2" s="83">
        <v>0</v>
      </c>
      <c r="MP2" s="83">
        <v>0</v>
      </c>
    </row>
    <row r="3" spans="1:357" ht="18" x14ac:dyDescent="0.25">
      <c r="A3" s="3" t="s">
        <v>23</v>
      </c>
      <c r="B3" s="3" t="s">
        <v>24</v>
      </c>
      <c r="C3" s="2">
        <v>24511</v>
      </c>
      <c r="D3" s="3">
        <v>54</v>
      </c>
      <c r="E3" s="3">
        <v>8014416028</v>
      </c>
      <c r="F3" s="3">
        <v>0</v>
      </c>
      <c r="G3" s="3">
        <v>1</v>
      </c>
      <c r="H3" s="26">
        <v>43983</v>
      </c>
      <c r="I3" s="61">
        <v>0</v>
      </c>
      <c r="J3" s="61"/>
      <c r="K3" s="57">
        <v>0</v>
      </c>
      <c r="L3" s="58">
        <v>0</v>
      </c>
      <c r="M3" s="3" t="s">
        <v>25</v>
      </c>
      <c r="N3" s="64">
        <v>2</v>
      </c>
      <c r="O3" s="2">
        <v>44173</v>
      </c>
      <c r="P3" s="3">
        <v>0</v>
      </c>
      <c r="Q3" s="2">
        <v>45071</v>
      </c>
      <c r="R3" s="64">
        <f t="shared" ref="R3" si="0">Q3-AZ3</f>
        <v>1088</v>
      </c>
      <c r="S3">
        <v>1</v>
      </c>
      <c r="T3">
        <v>0</v>
      </c>
      <c r="U3">
        <v>0</v>
      </c>
      <c r="V3">
        <v>60</v>
      </c>
      <c r="W3">
        <v>0</v>
      </c>
      <c r="X3">
        <v>1</v>
      </c>
      <c r="Y3">
        <v>0</v>
      </c>
      <c r="Z3">
        <v>0</v>
      </c>
      <c r="AA3">
        <v>0</v>
      </c>
      <c r="AB3">
        <v>1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110</v>
      </c>
      <c r="AQ3">
        <v>180</v>
      </c>
      <c r="AR3">
        <v>34</v>
      </c>
      <c r="AS3">
        <v>39.299999999999997</v>
      </c>
      <c r="AT3">
        <v>102</v>
      </c>
      <c r="AU3">
        <v>81</v>
      </c>
      <c r="AV3">
        <v>3</v>
      </c>
      <c r="AW3">
        <v>1</v>
      </c>
      <c r="AX3">
        <v>11</v>
      </c>
      <c r="AY3" s="1">
        <v>43983</v>
      </c>
      <c r="AZ3" s="1">
        <v>43983</v>
      </c>
      <c r="BA3">
        <v>0</v>
      </c>
      <c r="BB3" s="1">
        <v>43983</v>
      </c>
      <c r="BC3">
        <v>1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 s="39">
        <v>3</v>
      </c>
      <c r="BM3">
        <v>0</v>
      </c>
      <c r="BN3">
        <v>0</v>
      </c>
      <c r="BO3" s="66">
        <v>0</v>
      </c>
      <c r="BP3">
        <v>2</v>
      </c>
      <c r="BQ3">
        <v>1</v>
      </c>
      <c r="BR3" s="66">
        <f t="shared" ref="BR3" si="1">BL3+BM3+BN3+BO3+BP3+BQ3</f>
        <v>6</v>
      </c>
      <c r="BS3" s="39">
        <v>1</v>
      </c>
      <c r="BT3" s="39">
        <v>3</v>
      </c>
      <c r="BU3">
        <v>3</v>
      </c>
      <c r="BV3">
        <v>0</v>
      </c>
      <c r="BW3" s="66">
        <f t="shared" ref="BW3" si="2">BO3</f>
        <v>0</v>
      </c>
      <c r="BX3">
        <v>2</v>
      </c>
      <c r="BY3">
        <v>1</v>
      </c>
      <c r="BZ3" s="66">
        <f t="shared" ref="BZ3" si="3">BT3+BU3+BV3+BW3+BX3+BY3</f>
        <v>9</v>
      </c>
      <c r="CA3" s="39">
        <v>1</v>
      </c>
      <c r="CB3">
        <v>1</v>
      </c>
      <c r="CC3">
        <v>1</v>
      </c>
      <c r="CD3">
        <v>1</v>
      </c>
      <c r="CF3">
        <v>1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>
        <v>0</v>
      </c>
      <c r="CY3">
        <v>0</v>
      </c>
      <c r="DB3" s="1">
        <v>44021</v>
      </c>
      <c r="DC3" s="66">
        <f t="shared" ref="DC3" si="4">DB3-BB3</f>
        <v>38</v>
      </c>
      <c r="DD3" t="s">
        <v>3</v>
      </c>
      <c r="DE3">
        <v>1</v>
      </c>
      <c r="DF3" s="1">
        <v>44085</v>
      </c>
      <c r="DG3">
        <v>65</v>
      </c>
      <c r="DI3">
        <v>15.7</v>
      </c>
      <c r="DJ3">
        <v>17</v>
      </c>
      <c r="DK3">
        <v>2.5299999999999998</v>
      </c>
      <c r="DL3" s="66">
        <v>279</v>
      </c>
      <c r="DM3" t="s">
        <v>106</v>
      </c>
      <c r="DN3">
        <v>72</v>
      </c>
      <c r="DO3" t="s">
        <v>106</v>
      </c>
      <c r="DS3">
        <v>193</v>
      </c>
      <c r="DT3">
        <v>9.8000000000000007</v>
      </c>
      <c r="DU3" t="s">
        <v>106</v>
      </c>
      <c r="DV3">
        <v>90</v>
      </c>
      <c r="DW3" t="s">
        <v>106</v>
      </c>
      <c r="DX3" s="1">
        <v>43983</v>
      </c>
      <c r="DY3">
        <v>22</v>
      </c>
      <c r="DZ3">
        <f>EA3</f>
        <v>51</v>
      </c>
      <c r="EA3">
        <v>51</v>
      </c>
      <c r="EB3">
        <v>1</v>
      </c>
      <c r="ED3">
        <f>EE3</f>
        <v>5.0999999999999996</v>
      </c>
      <c r="EE3">
        <v>5.0999999999999996</v>
      </c>
      <c r="EF3">
        <v>1</v>
      </c>
      <c r="EH3" s="62"/>
      <c r="EJ3">
        <f t="shared" ref="EJ3" si="5">EI3-EG3</f>
        <v>0</v>
      </c>
      <c r="EQ3">
        <v>168</v>
      </c>
      <c r="ER3">
        <v>43</v>
      </c>
      <c r="ES3">
        <v>69</v>
      </c>
      <c r="ET3">
        <v>362</v>
      </c>
      <c r="EU3">
        <v>96</v>
      </c>
      <c r="EV3">
        <v>56</v>
      </c>
      <c r="EW3">
        <v>44</v>
      </c>
      <c r="EY3">
        <v>7.32</v>
      </c>
      <c r="EZ3">
        <v>1</v>
      </c>
      <c r="FA3">
        <v>1</v>
      </c>
      <c r="FB3">
        <v>1</v>
      </c>
      <c r="FD3">
        <v>1</v>
      </c>
      <c r="FE3">
        <v>1</v>
      </c>
      <c r="FF3" s="1">
        <v>44093</v>
      </c>
      <c r="FG3" s="1"/>
      <c r="FH3" s="1"/>
      <c r="FI3">
        <v>0</v>
      </c>
      <c r="FJ3">
        <v>1</v>
      </c>
      <c r="FK3">
        <v>190</v>
      </c>
      <c r="FL3">
        <v>100</v>
      </c>
      <c r="FM3">
        <v>0</v>
      </c>
      <c r="FO3" s="3">
        <v>1</v>
      </c>
      <c r="FP3" s="26">
        <v>43983</v>
      </c>
      <c r="FQ3" s="61">
        <v>0</v>
      </c>
      <c r="FR3" s="22">
        <v>43983</v>
      </c>
      <c r="FS3" s="22" t="s">
        <v>230</v>
      </c>
      <c r="FT3" s="15">
        <v>1</v>
      </c>
      <c r="FU3" s="15">
        <v>0</v>
      </c>
      <c r="FV3" s="15">
        <v>0</v>
      </c>
      <c r="FW3" s="15">
        <v>0</v>
      </c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>
        <v>1</v>
      </c>
      <c r="HJ3" s="15">
        <v>1</v>
      </c>
      <c r="HK3" s="15"/>
      <c r="HL3" s="15"/>
      <c r="HM3" s="15"/>
      <c r="HN3" s="15">
        <v>1</v>
      </c>
      <c r="HO3" s="15"/>
      <c r="HP3" s="15">
        <v>1</v>
      </c>
      <c r="HQ3" s="15">
        <v>0</v>
      </c>
      <c r="HR3" s="15">
        <v>0</v>
      </c>
      <c r="HS3" s="15">
        <v>0</v>
      </c>
      <c r="HT3" s="15">
        <v>0</v>
      </c>
      <c r="HU3" s="15">
        <v>1</v>
      </c>
      <c r="HV3" s="15">
        <v>1</v>
      </c>
      <c r="HW3" s="15">
        <v>0</v>
      </c>
      <c r="HX3" s="15">
        <v>0</v>
      </c>
      <c r="HY3" s="15">
        <v>0</v>
      </c>
      <c r="HZ3" s="22">
        <v>44034</v>
      </c>
      <c r="IA3" s="15" t="s">
        <v>231</v>
      </c>
      <c r="IB3" s="15">
        <v>0</v>
      </c>
      <c r="IC3" s="15">
        <v>1</v>
      </c>
      <c r="ID3" s="15">
        <v>0</v>
      </c>
      <c r="IE3" s="15">
        <v>0</v>
      </c>
      <c r="IF3" s="15">
        <v>1</v>
      </c>
      <c r="IG3" s="15">
        <v>0</v>
      </c>
      <c r="IH3" s="15">
        <v>0</v>
      </c>
      <c r="II3" s="15">
        <v>0</v>
      </c>
      <c r="IJ3" s="15">
        <v>0</v>
      </c>
      <c r="IK3" s="15">
        <v>1</v>
      </c>
      <c r="IL3" s="15">
        <v>1</v>
      </c>
      <c r="IM3" s="15">
        <v>1</v>
      </c>
      <c r="IN3" s="15">
        <v>1</v>
      </c>
      <c r="IO3" s="15">
        <v>0</v>
      </c>
      <c r="IP3" s="15">
        <v>0</v>
      </c>
      <c r="IQ3" s="15">
        <v>0</v>
      </c>
      <c r="IR3" s="15">
        <v>0</v>
      </c>
      <c r="IS3" s="15">
        <v>0</v>
      </c>
      <c r="IT3" s="15">
        <v>1</v>
      </c>
      <c r="IU3" s="15">
        <v>0</v>
      </c>
      <c r="IV3" s="15">
        <v>0</v>
      </c>
      <c r="IW3" s="15">
        <v>1</v>
      </c>
      <c r="IX3" s="15">
        <v>1</v>
      </c>
      <c r="IY3" s="15">
        <v>0</v>
      </c>
      <c r="IZ3" s="15">
        <v>1</v>
      </c>
      <c r="JA3" s="15">
        <v>1</v>
      </c>
      <c r="JB3" s="15">
        <v>1</v>
      </c>
      <c r="JC3" s="15">
        <v>1</v>
      </c>
      <c r="JD3" s="15">
        <v>1</v>
      </c>
      <c r="JE3" s="15">
        <v>0</v>
      </c>
      <c r="JF3" s="15">
        <v>0</v>
      </c>
      <c r="JG3" s="15">
        <v>0</v>
      </c>
      <c r="JH3" s="15">
        <v>0</v>
      </c>
      <c r="JI3" s="15">
        <v>0</v>
      </c>
      <c r="JJ3" s="15">
        <v>0</v>
      </c>
      <c r="JK3" s="15">
        <v>1</v>
      </c>
      <c r="JL3" s="15">
        <v>0</v>
      </c>
      <c r="JM3" s="15">
        <v>0</v>
      </c>
      <c r="JN3" s="15">
        <v>0</v>
      </c>
      <c r="JO3" s="15">
        <v>0</v>
      </c>
      <c r="JP3" s="15">
        <v>0</v>
      </c>
      <c r="JQ3" s="15">
        <v>0</v>
      </c>
      <c r="JR3" s="15">
        <v>1</v>
      </c>
      <c r="JS3" s="15">
        <v>0</v>
      </c>
      <c r="JT3" s="15">
        <v>0</v>
      </c>
      <c r="JU3" s="15">
        <v>1</v>
      </c>
      <c r="JV3" s="15"/>
      <c r="JW3" s="15">
        <v>1</v>
      </c>
      <c r="JX3" s="15">
        <v>1</v>
      </c>
      <c r="JY3" s="15">
        <v>0</v>
      </c>
      <c r="JZ3" s="15">
        <v>0</v>
      </c>
      <c r="KA3" s="15">
        <v>1</v>
      </c>
      <c r="KB3" s="15">
        <v>1</v>
      </c>
      <c r="KC3" s="15">
        <v>1</v>
      </c>
      <c r="KD3" s="15">
        <v>1</v>
      </c>
      <c r="KE3" s="15">
        <v>0</v>
      </c>
      <c r="KF3" s="15">
        <v>1</v>
      </c>
      <c r="KG3" s="15">
        <v>1</v>
      </c>
      <c r="KJ3">
        <v>1</v>
      </c>
      <c r="KK3">
        <v>1</v>
      </c>
      <c r="KL3">
        <v>0</v>
      </c>
      <c r="KM3">
        <v>0</v>
      </c>
      <c r="KN3">
        <v>1</v>
      </c>
      <c r="KO3">
        <v>0</v>
      </c>
      <c r="KP3">
        <v>0</v>
      </c>
      <c r="KQ3">
        <v>0</v>
      </c>
      <c r="KR3">
        <v>0</v>
      </c>
      <c r="KS3">
        <v>1</v>
      </c>
      <c r="KT3">
        <v>1</v>
      </c>
      <c r="KU3">
        <v>1</v>
      </c>
      <c r="KV3">
        <v>1</v>
      </c>
      <c r="KW3">
        <v>0</v>
      </c>
      <c r="KX3">
        <v>0</v>
      </c>
      <c r="KY3">
        <v>0</v>
      </c>
      <c r="KZ3">
        <v>0</v>
      </c>
      <c r="LA3">
        <v>0</v>
      </c>
      <c r="LB3">
        <v>1</v>
      </c>
      <c r="LC3">
        <v>0</v>
      </c>
      <c r="LD3">
        <v>0</v>
      </c>
      <c r="LE3">
        <v>1</v>
      </c>
      <c r="LF3">
        <v>1</v>
      </c>
      <c r="LG3">
        <v>0</v>
      </c>
      <c r="LH3">
        <v>1</v>
      </c>
      <c r="LI3">
        <v>1</v>
      </c>
      <c r="LJ3">
        <v>1</v>
      </c>
      <c r="LK3">
        <v>1</v>
      </c>
      <c r="LL3">
        <v>1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1</v>
      </c>
      <c r="LT3">
        <v>0</v>
      </c>
      <c r="LU3">
        <v>0</v>
      </c>
      <c r="LV3">
        <v>0</v>
      </c>
      <c r="LW3">
        <v>0</v>
      </c>
      <c r="LX3">
        <v>0</v>
      </c>
      <c r="LY3">
        <v>1</v>
      </c>
      <c r="LZ3">
        <v>1</v>
      </c>
      <c r="MA3">
        <v>0</v>
      </c>
      <c r="MB3">
        <v>0</v>
      </c>
      <c r="MC3">
        <v>1</v>
      </c>
      <c r="MD3">
        <v>1</v>
      </c>
      <c r="ME3">
        <v>1</v>
      </c>
      <c r="MF3">
        <v>1</v>
      </c>
      <c r="MG3">
        <v>0</v>
      </c>
      <c r="MH3">
        <v>0</v>
      </c>
      <c r="MI3">
        <v>1</v>
      </c>
      <c r="MJ3">
        <v>1</v>
      </c>
      <c r="MK3">
        <v>1</v>
      </c>
      <c r="ML3">
        <v>1</v>
      </c>
      <c r="MM3">
        <v>0</v>
      </c>
      <c r="MN3">
        <v>1</v>
      </c>
      <c r="MO3">
        <v>1</v>
      </c>
      <c r="MP3">
        <v>1</v>
      </c>
      <c r="MQ3">
        <v>0</v>
      </c>
      <c r="MR3">
        <v>1</v>
      </c>
      <c r="MS3">
        <v>1</v>
      </c>
    </row>
    <row r="4" spans="1:357" x14ac:dyDescent="0.25">
      <c r="B4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Exclus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Nuzzo</dc:creator>
  <cp:lastModifiedBy>Benjamin Richard</cp:lastModifiedBy>
  <dcterms:created xsi:type="dcterms:W3CDTF">2023-05-03T23:56:59Z</dcterms:created>
  <dcterms:modified xsi:type="dcterms:W3CDTF">2026-09-25T10:02:51Z</dcterms:modified>
</cp:coreProperties>
</file>